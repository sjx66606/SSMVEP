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okang0615\ssmvep15_10data\"/>
    </mc:Choice>
  </mc:AlternateContent>
  <xr:revisionPtr revIDLastSave="0" documentId="13_ncr:1_{4B5AD5BA-CF0A-47B9-8002-0D058422DFB0}" xr6:coauthVersionLast="45" xr6:coauthVersionMax="45" xr10:uidLastSave="{00000000-0000-0000-0000-000000000000}"/>
  <bookViews>
    <workbookView xWindow="-110" yWindow="-110" windowWidth="21820" windowHeight="14020" xr2:uid="{EC51D3F5-5B3B-433B-87B5-E2E659EAF787}"/>
  </bookViews>
  <sheets>
    <sheet name="Sheet1" sheetId="1" r:id="rId1"/>
    <sheet name="wrongfr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9" i="1" l="1"/>
  <c r="D89" i="1"/>
  <c r="E89" i="1"/>
  <c r="B89" i="1"/>
  <c r="O75" i="1"/>
  <c r="P75" i="1"/>
  <c r="Q75" i="1"/>
  <c r="N75" i="1"/>
  <c r="I7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I66" i="1"/>
  <c r="J66" i="1"/>
  <c r="K66" i="1"/>
  <c r="K76" i="1" s="1"/>
  <c r="H66" i="1"/>
  <c r="H76" i="1" s="1"/>
  <c r="J76" i="1" l="1"/>
  <c r="O64" i="1"/>
  <c r="P64" i="1"/>
  <c r="Q64" i="1"/>
  <c r="N64" i="1"/>
  <c r="O51" i="1"/>
  <c r="P51" i="1"/>
  <c r="Q51" i="1"/>
  <c r="N51" i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L17" i="2"/>
  <c r="L18" i="2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L2" i="2"/>
  <c r="L4" i="2"/>
  <c r="L6" i="2"/>
  <c r="L8" i="2"/>
  <c r="L10" i="2"/>
  <c r="L12" i="2"/>
  <c r="L14" i="2"/>
  <c r="L1" i="2"/>
  <c r="K2" i="2"/>
  <c r="K3" i="2"/>
  <c r="L3" i="2" s="1"/>
  <c r="K4" i="2"/>
  <c r="K5" i="2"/>
  <c r="L5" i="2" s="1"/>
  <c r="K6" i="2"/>
  <c r="K7" i="2"/>
  <c r="L7" i="2" s="1"/>
  <c r="K8" i="2"/>
  <c r="K9" i="2"/>
  <c r="L9" i="2" s="1"/>
  <c r="K10" i="2"/>
  <c r="K11" i="2"/>
  <c r="L11" i="2" s="1"/>
  <c r="K12" i="2"/>
  <c r="K13" i="2"/>
  <c r="L13" i="2" s="1"/>
  <c r="K14" i="2"/>
  <c r="K15" i="2"/>
  <c r="L15" i="2" s="1"/>
  <c r="K1" i="2"/>
  <c r="B51" i="2"/>
  <c r="C51" i="2"/>
  <c r="D51" i="2"/>
  <c r="E51" i="2"/>
  <c r="F51" i="2"/>
  <c r="G51" i="2"/>
  <c r="H51" i="2"/>
  <c r="I51" i="2"/>
  <c r="J51" i="2"/>
  <c r="A51" i="2"/>
  <c r="B34" i="2"/>
  <c r="C34" i="2"/>
  <c r="D34" i="2"/>
  <c r="E34" i="2"/>
  <c r="F34" i="2"/>
  <c r="G34" i="2"/>
  <c r="H34" i="2"/>
  <c r="I34" i="2"/>
  <c r="J34" i="2"/>
  <c r="A34" i="2"/>
  <c r="L34" i="2" s="1"/>
  <c r="B16" i="2"/>
  <c r="C16" i="2"/>
  <c r="D16" i="2"/>
  <c r="E16" i="2"/>
  <c r="F16" i="2"/>
  <c r="G16" i="2"/>
  <c r="H16" i="2"/>
  <c r="I16" i="2"/>
  <c r="J16" i="2"/>
  <c r="A16" i="2"/>
  <c r="K16" i="2" s="1"/>
  <c r="L16" i="2" s="1"/>
  <c r="H54" i="1"/>
  <c r="H64" i="1" s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I54" i="1"/>
  <c r="I64" i="1" s="1"/>
  <c r="J54" i="1"/>
  <c r="J64" i="1" s="1"/>
  <c r="K54" i="1"/>
  <c r="K64" i="1" s="1"/>
  <c r="L26" i="1"/>
  <c r="L27" i="1"/>
  <c r="L28" i="1"/>
  <c r="L31" i="1"/>
  <c r="L32" i="1"/>
  <c r="L33" i="1"/>
  <c r="L38" i="1"/>
  <c r="L37" i="1"/>
  <c r="L36" i="1"/>
  <c r="L25" i="1"/>
  <c r="L30" i="1"/>
  <c r="L35" i="1"/>
  <c r="L22" i="1"/>
  <c r="L21" i="1"/>
  <c r="L20" i="1"/>
  <c r="L23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I41" i="1"/>
  <c r="J41" i="1"/>
  <c r="K41" i="1"/>
  <c r="H41" i="1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I2" i="1"/>
  <c r="J2" i="1"/>
  <c r="K2" i="1"/>
  <c r="H2" i="1"/>
  <c r="H51" i="1" l="1"/>
  <c r="K51" i="2"/>
  <c r="J51" i="1"/>
  <c r="I51" i="1"/>
  <c r="K51" i="1"/>
  <c r="H12" i="1"/>
  <c r="K12" i="1"/>
  <c r="J12" i="1"/>
  <c r="I12" i="1"/>
</calcChain>
</file>

<file path=xl/sharedStrings.xml><?xml version="1.0" encoding="utf-8"?>
<sst xmlns="http://schemas.openxmlformats.org/spreadsheetml/2006/main" count="84" uniqueCount="18">
  <si>
    <t>M0</t>
  </si>
  <si>
    <t>M0</t>
    <phoneticPr fontId="2" type="noConversion"/>
  </si>
  <si>
    <t>M1</t>
  </si>
  <si>
    <t>M1</t>
    <phoneticPr fontId="2" type="noConversion"/>
  </si>
  <si>
    <t>M2</t>
  </si>
  <si>
    <t>M2</t>
    <phoneticPr fontId="2" type="noConversion"/>
  </si>
  <si>
    <t>M3</t>
  </si>
  <si>
    <t>M3</t>
    <phoneticPr fontId="2" type="noConversion"/>
  </si>
  <si>
    <t>t7</t>
    <phoneticPr fontId="2" type="noConversion"/>
  </si>
  <si>
    <t>FC1</t>
    <phoneticPr fontId="2" type="noConversion"/>
  </si>
  <si>
    <t>PO7</t>
  </si>
  <si>
    <t>PO7</t>
    <phoneticPr fontId="2" type="noConversion"/>
  </si>
  <si>
    <t>FT7</t>
  </si>
  <si>
    <t>FT7</t>
    <phoneticPr fontId="2" type="noConversion"/>
  </si>
  <si>
    <t>T7</t>
  </si>
  <si>
    <t>T7</t>
    <phoneticPr fontId="2" type="noConversion"/>
  </si>
  <si>
    <t>Average</t>
    <phoneticPr fontId="2" type="noConversion"/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</si>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</sst>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1" fillId="0" borderId="0" xfId="0" applyNumberFormat="1" applyFont="1">
      <alignment vertical="center"/>
    </xf>
    <xf numFmtId="10" fontId="1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799A-FF71-4406-8E80-58A524ADB3E0}">
  <dimension ref="A1:Q90"/>
  <sheetViews>
    <sheetView tabSelected="1" topLeftCell="A70" workbookViewId="0">
      <selection activeCell="Q90" sqref="M79:Q90"/>
    </sheetView>
  </sheetViews>
  <sheetFormatPr defaultRowHeight="14" x14ac:dyDescent="0.3"/>
  <sheetData>
    <row r="1" spans="1:11" x14ac:dyDescent="0.3">
      <c r="B1" t="s">
        <v>1</v>
      </c>
      <c r="C1" t="s">
        <v>3</v>
      </c>
      <c r="D1" t="s">
        <v>5</v>
      </c>
      <c r="E1" t="s">
        <v>7</v>
      </c>
      <c r="G1" s="7"/>
      <c r="H1" s="7" t="s">
        <v>0</v>
      </c>
      <c r="I1" s="7" t="s">
        <v>2</v>
      </c>
      <c r="J1" s="7" t="s">
        <v>4</v>
      </c>
      <c r="K1" s="7" t="s">
        <v>6</v>
      </c>
    </row>
    <row r="2" spans="1:11" x14ac:dyDescent="0.3">
      <c r="A2">
        <v>1</v>
      </c>
      <c r="B2">
        <v>68</v>
      </c>
      <c r="C2">
        <v>61</v>
      </c>
      <c r="D2">
        <v>58</v>
      </c>
      <c r="E2">
        <v>54</v>
      </c>
      <c r="G2" s="7">
        <v>1</v>
      </c>
      <c r="H2" s="8">
        <f>B2/75</f>
        <v>0.90666666666666662</v>
      </c>
      <c r="I2" s="8">
        <f t="shared" ref="I2:K2" si="0">C2/75</f>
        <v>0.81333333333333335</v>
      </c>
      <c r="J2" s="8">
        <f t="shared" si="0"/>
        <v>0.77333333333333332</v>
      </c>
      <c r="K2" s="8">
        <f t="shared" si="0"/>
        <v>0.72</v>
      </c>
    </row>
    <row r="3" spans="1:11" x14ac:dyDescent="0.3">
      <c r="A3">
        <v>2</v>
      </c>
      <c r="B3">
        <v>70</v>
      </c>
      <c r="C3">
        <v>73</v>
      </c>
      <c r="D3">
        <v>73</v>
      </c>
      <c r="E3">
        <v>73</v>
      </c>
      <c r="G3" s="9">
        <v>2</v>
      </c>
      <c r="H3" s="10">
        <f t="shared" ref="H3:H11" si="1">B3/75</f>
        <v>0.93333333333333335</v>
      </c>
      <c r="I3" s="10">
        <f t="shared" ref="I3:I11" si="2">C3/75</f>
        <v>0.97333333333333338</v>
      </c>
      <c r="J3" s="10">
        <f t="shared" ref="J3:J11" si="3">D3/75</f>
        <v>0.97333333333333338</v>
      </c>
      <c r="K3" s="10">
        <f t="shared" ref="K3:K11" si="4">E3/75</f>
        <v>0.97333333333333338</v>
      </c>
    </row>
    <row r="4" spans="1:11" x14ac:dyDescent="0.3">
      <c r="A4">
        <v>3</v>
      </c>
      <c r="B4">
        <v>68</v>
      </c>
      <c r="C4">
        <v>67</v>
      </c>
      <c r="D4">
        <v>56</v>
      </c>
      <c r="E4">
        <v>63</v>
      </c>
      <c r="G4" s="9">
        <v>3</v>
      </c>
      <c r="H4" s="10">
        <f t="shared" si="1"/>
        <v>0.90666666666666662</v>
      </c>
      <c r="I4" s="10">
        <f t="shared" si="2"/>
        <v>0.89333333333333331</v>
      </c>
      <c r="J4" s="10">
        <f t="shared" si="3"/>
        <v>0.7466666666666667</v>
      </c>
      <c r="K4" s="10">
        <f t="shared" si="4"/>
        <v>0.84</v>
      </c>
    </row>
    <row r="5" spans="1:11" x14ac:dyDescent="0.3">
      <c r="A5">
        <v>4</v>
      </c>
      <c r="B5">
        <v>71</v>
      </c>
      <c r="C5">
        <v>73</v>
      </c>
      <c r="D5">
        <v>68</v>
      </c>
      <c r="E5">
        <v>69</v>
      </c>
      <c r="G5" s="9">
        <v>4</v>
      </c>
      <c r="H5" s="10">
        <f t="shared" si="1"/>
        <v>0.94666666666666666</v>
      </c>
      <c r="I5" s="10">
        <f t="shared" si="2"/>
        <v>0.97333333333333338</v>
      </c>
      <c r="J5" s="10">
        <f t="shared" si="3"/>
        <v>0.90666666666666662</v>
      </c>
      <c r="K5" s="10">
        <f t="shared" si="4"/>
        <v>0.92</v>
      </c>
    </row>
    <row r="6" spans="1:11" x14ac:dyDescent="0.3">
      <c r="A6">
        <v>5</v>
      </c>
      <c r="B6">
        <v>75</v>
      </c>
      <c r="C6">
        <v>75</v>
      </c>
      <c r="D6">
        <v>73</v>
      </c>
      <c r="E6">
        <v>75</v>
      </c>
      <c r="G6" s="9">
        <v>5</v>
      </c>
      <c r="H6" s="10">
        <f t="shared" si="1"/>
        <v>1</v>
      </c>
      <c r="I6" s="10">
        <f t="shared" si="2"/>
        <v>1</v>
      </c>
      <c r="J6" s="10">
        <f t="shared" si="3"/>
        <v>0.97333333333333338</v>
      </c>
      <c r="K6" s="10">
        <f t="shared" si="4"/>
        <v>1</v>
      </c>
    </row>
    <row r="7" spans="1:11" x14ac:dyDescent="0.3">
      <c r="A7">
        <v>6</v>
      </c>
      <c r="B7">
        <v>54</v>
      </c>
      <c r="C7">
        <v>47</v>
      </c>
      <c r="D7">
        <v>49</v>
      </c>
      <c r="E7">
        <v>47</v>
      </c>
      <c r="G7" s="9">
        <v>6</v>
      </c>
      <c r="H7" s="10">
        <f t="shared" si="1"/>
        <v>0.72</v>
      </c>
      <c r="I7" s="10">
        <f t="shared" si="2"/>
        <v>0.62666666666666671</v>
      </c>
      <c r="J7" s="10">
        <f t="shared" si="3"/>
        <v>0.65333333333333332</v>
      </c>
      <c r="K7" s="10">
        <f t="shared" si="4"/>
        <v>0.62666666666666671</v>
      </c>
    </row>
    <row r="8" spans="1:11" x14ac:dyDescent="0.3">
      <c r="A8">
        <v>7</v>
      </c>
      <c r="B8">
        <v>74</v>
      </c>
      <c r="C8">
        <v>74</v>
      </c>
      <c r="D8">
        <v>74</v>
      </c>
      <c r="E8">
        <v>71</v>
      </c>
      <c r="G8" s="9">
        <v>7</v>
      </c>
      <c r="H8" s="10">
        <f t="shared" si="1"/>
        <v>0.98666666666666669</v>
      </c>
      <c r="I8" s="10">
        <f t="shared" si="2"/>
        <v>0.98666666666666669</v>
      </c>
      <c r="J8" s="10">
        <f t="shared" si="3"/>
        <v>0.98666666666666669</v>
      </c>
      <c r="K8" s="10">
        <f t="shared" si="4"/>
        <v>0.94666666666666666</v>
      </c>
    </row>
    <row r="9" spans="1:11" x14ac:dyDescent="0.3">
      <c r="A9">
        <v>8</v>
      </c>
      <c r="B9">
        <v>70</v>
      </c>
      <c r="C9">
        <v>74</v>
      </c>
      <c r="D9">
        <v>71</v>
      </c>
      <c r="E9">
        <v>74</v>
      </c>
      <c r="G9" s="9">
        <v>8</v>
      </c>
      <c r="H9" s="10">
        <f t="shared" si="1"/>
        <v>0.93333333333333335</v>
      </c>
      <c r="I9" s="10">
        <f t="shared" si="2"/>
        <v>0.98666666666666669</v>
      </c>
      <c r="J9" s="10">
        <f t="shared" si="3"/>
        <v>0.94666666666666666</v>
      </c>
      <c r="K9" s="10">
        <f t="shared" si="4"/>
        <v>0.98666666666666669</v>
      </c>
    </row>
    <row r="10" spans="1:11" x14ac:dyDescent="0.3">
      <c r="A10">
        <v>9</v>
      </c>
      <c r="B10">
        <v>67</v>
      </c>
      <c r="C10">
        <v>65</v>
      </c>
      <c r="D10">
        <v>65</v>
      </c>
      <c r="E10">
        <v>66</v>
      </c>
      <c r="G10" s="9">
        <v>9</v>
      </c>
      <c r="H10" s="10">
        <f t="shared" si="1"/>
        <v>0.89333333333333331</v>
      </c>
      <c r="I10" s="10">
        <f t="shared" si="2"/>
        <v>0.8666666666666667</v>
      </c>
      <c r="J10" s="10">
        <f t="shared" si="3"/>
        <v>0.8666666666666667</v>
      </c>
      <c r="K10" s="10">
        <f t="shared" si="4"/>
        <v>0.88</v>
      </c>
    </row>
    <row r="11" spans="1:11" x14ac:dyDescent="0.3">
      <c r="A11">
        <v>10</v>
      </c>
      <c r="B11">
        <v>58</v>
      </c>
      <c r="C11">
        <v>64</v>
      </c>
      <c r="D11">
        <v>65</v>
      </c>
      <c r="E11">
        <v>61</v>
      </c>
      <c r="G11" s="9">
        <v>10</v>
      </c>
      <c r="H11" s="10">
        <f t="shared" si="1"/>
        <v>0.77333333333333332</v>
      </c>
      <c r="I11" s="10">
        <f t="shared" si="2"/>
        <v>0.85333333333333339</v>
      </c>
      <c r="J11" s="10">
        <f t="shared" si="3"/>
        <v>0.8666666666666667</v>
      </c>
      <c r="K11" s="10">
        <f t="shared" si="4"/>
        <v>0.81333333333333335</v>
      </c>
    </row>
    <row r="12" spans="1:11" x14ac:dyDescent="0.3">
      <c r="G12" s="11" t="s">
        <v>16</v>
      </c>
      <c r="H12" s="12">
        <f>AVERAGE(H2:H11)</f>
        <v>0.9</v>
      </c>
      <c r="I12" s="12">
        <f t="shared" ref="I12:K12" si="5">AVERAGE(I2:I11)</f>
        <v>0.89733333333333332</v>
      </c>
      <c r="J12" s="12">
        <f t="shared" si="5"/>
        <v>0.86933333333333329</v>
      </c>
      <c r="K12" s="12">
        <f t="shared" si="5"/>
        <v>0.87066666666666648</v>
      </c>
    </row>
    <row r="15" spans="1:11" x14ac:dyDescent="0.3">
      <c r="B15">
        <v>68</v>
      </c>
      <c r="C15">
        <v>70</v>
      </c>
      <c r="D15">
        <v>68</v>
      </c>
      <c r="E15">
        <v>71</v>
      </c>
      <c r="F15">
        <v>75</v>
      </c>
      <c r="G15">
        <v>54</v>
      </c>
      <c r="H15">
        <v>74</v>
      </c>
      <c r="I15">
        <v>70</v>
      </c>
      <c r="J15">
        <v>67</v>
      </c>
      <c r="K15">
        <v>58</v>
      </c>
    </row>
    <row r="16" spans="1:11" x14ac:dyDescent="0.3">
      <c r="B16">
        <v>61</v>
      </c>
      <c r="C16">
        <v>73</v>
      </c>
      <c r="D16">
        <v>67</v>
      </c>
      <c r="E16">
        <v>73</v>
      </c>
      <c r="F16">
        <v>75</v>
      </c>
      <c r="G16">
        <v>47</v>
      </c>
      <c r="H16">
        <v>74</v>
      </c>
      <c r="I16">
        <v>74</v>
      </c>
      <c r="J16">
        <v>65</v>
      </c>
      <c r="K16">
        <v>64</v>
      </c>
    </row>
    <row r="17" spans="1:13" x14ac:dyDescent="0.3">
      <c r="B17">
        <v>58</v>
      </c>
      <c r="C17">
        <v>73</v>
      </c>
      <c r="D17">
        <v>56</v>
      </c>
      <c r="E17">
        <v>68</v>
      </c>
      <c r="F17">
        <v>73</v>
      </c>
      <c r="G17">
        <v>49</v>
      </c>
      <c r="H17">
        <v>74</v>
      </c>
      <c r="I17">
        <v>71</v>
      </c>
      <c r="J17">
        <v>65</v>
      </c>
      <c r="K17">
        <v>65</v>
      </c>
    </row>
    <row r="18" spans="1:13" x14ac:dyDescent="0.3">
      <c r="B18">
        <v>54</v>
      </c>
      <c r="C18">
        <v>73</v>
      </c>
      <c r="D18">
        <v>63</v>
      </c>
      <c r="E18">
        <v>69</v>
      </c>
      <c r="F18">
        <v>75</v>
      </c>
      <c r="G18">
        <v>47</v>
      </c>
      <c r="H18">
        <v>71</v>
      </c>
      <c r="I18">
        <v>74</v>
      </c>
      <c r="J18">
        <v>66</v>
      </c>
      <c r="K18">
        <v>61</v>
      </c>
    </row>
    <row r="20" spans="1:13" x14ac:dyDescent="0.3">
      <c r="A20" t="s">
        <v>9</v>
      </c>
      <c r="B20">
        <v>70</v>
      </c>
      <c r="C20">
        <v>46</v>
      </c>
      <c r="D20">
        <v>72</v>
      </c>
      <c r="E20">
        <v>65</v>
      </c>
      <c r="F20">
        <v>53</v>
      </c>
      <c r="G20">
        <v>68</v>
      </c>
      <c r="H20">
        <v>74</v>
      </c>
      <c r="I20">
        <v>64</v>
      </c>
      <c r="J20">
        <v>57</v>
      </c>
      <c r="K20">
        <v>48</v>
      </c>
      <c r="L20" s="3">
        <f t="shared" ref="L20:L38" si="6">AVERAGE(B20:K20)</f>
        <v>61.7</v>
      </c>
    </row>
    <row r="21" spans="1:13" x14ac:dyDescent="0.3">
      <c r="A21" t="s">
        <v>8</v>
      </c>
      <c r="B21">
        <v>38</v>
      </c>
      <c r="C21">
        <v>57</v>
      </c>
      <c r="D21">
        <v>68</v>
      </c>
      <c r="E21">
        <v>39</v>
      </c>
      <c r="F21">
        <v>54</v>
      </c>
      <c r="G21">
        <v>42</v>
      </c>
      <c r="H21">
        <v>49</v>
      </c>
      <c r="I21">
        <v>39</v>
      </c>
      <c r="J21">
        <v>45</v>
      </c>
      <c r="K21">
        <v>49</v>
      </c>
      <c r="L21">
        <f>AVERAGE(B21:K21)</f>
        <v>48</v>
      </c>
    </row>
    <row r="22" spans="1:13" x14ac:dyDescent="0.3">
      <c r="A22" t="s">
        <v>11</v>
      </c>
      <c r="B22">
        <v>50</v>
      </c>
      <c r="C22">
        <v>40</v>
      </c>
      <c r="D22">
        <v>62</v>
      </c>
      <c r="E22">
        <v>60</v>
      </c>
      <c r="F22">
        <v>52</v>
      </c>
      <c r="G22">
        <v>54</v>
      </c>
      <c r="H22">
        <v>66</v>
      </c>
      <c r="I22">
        <v>51</v>
      </c>
      <c r="J22">
        <v>47</v>
      </c>
      <c r="K22">
        <v>38</v>
      </c>
      <c r="L22" s="5">
        <f>AVERAGE(B22:K22)</f>
        <v>52</v>
      </c>
    </row>
    <row r="23" spans="1:13" x14ac:dyDescent="0.3">
      <c r="A23" t="s">
        <v>13</v>
      </c>
      <c r="B23">
        <v>43</v>
      </c>
      <c r="C23">
        <v>63</v>
      </c>
      <c r="D23">
        <v>57</v>
      </c>
      <c r="E23">
        <v>48</v>
      </c>
      <c r="F23">
        <v>68</v>
      </c>
      <c r="G23">
        <v>41</v>
      </c>
      <c r="H23">
        <v>67</v>
      </c>
      <c r="I23">
        <v>42</v>
      </c>
      <c r="J23">
        <v>47</v>
      </c>
      <c r="K23">
        <v>34</v>
      </c>
      <c r="L23" s="5">
        <f>AVERAGE(B23:K23)</f>
        <v>51</v>
      </c>
    </row>
    <row r="25" spans="1:13" x14ac:dyDescent="0.3">
      <c r="A25" t="s">
        <v>9</v>
      </c>
      <c r="B25">
        <v>73</v>
      </c>
      <c r="C25">
        <v>74</v>
      </c>
      <c r="D25">
        <v>70</v>
      </c>
      <c r="E25">
        <v>75</v>
      </c>
      <c r="F25" s="3">
        <v>13</v>
      </c>
      <c r="G25">
        <v>73</v>
      </c>
      <c r="H25">
        <v>74</v>
      </c>
      <c r="I25">
        <v>13</v>
      </c>
      <c r="J25" s="3">
        <v>2</v>
      </c>
      <c r="K25">
        <v>75</v>
      </c>
      <c r="L25" s="3">
        <f t="shared" si="6"/>
        <v>54.2</v>
      </c>
      <c r="M25" t="s">
        <v>3</v>
      </c>
    </row>
    <row r="26" spans="1:13" x14ac:dyDescent="0.3">
      <c r="A26" t="s">
        <v>14</v>
      </c>
      <c r="B26">
        <v>73</v>
      </c>
      <c r="C26">
        <v>73</v>
      </c>
      <c r="D26">
        <v>53</v>
      </c>
      <c r="E26">
        <v>67</v>
      </c>
      <c r="F26" s="3">
        <v>2</v>
      </c>
      <c r="G26">
        <v>73</v>
      </c>
      <c r="H26">
        <v>74</v>
      </c>
      <c r="I26">
        <v>0</v>
      </c>
      <c r="J26" s="3">
        <v>0</v>
      </c>
      <c r="K26">
        <v>63</v>
      </c>
      <c r="L26" s="3">
        <f t="shared" si="6"/>
        <v>47.8</v>
      </c>
    </row>
    <row r="27" spans="1:13" x14ac:dyDescent="0.3">
      <c r="A27" t="s">
        <v>10</v>
      </c>
      <c r="B27">
        <v>48</v>
      </c>
      <c r="C27">
        <v>42</v>
      </c>
      <c r="D27">
        <v>68</v>
      </c>
      <c r="E27">
        <v>0</v>
      </c>
      <c r="F27" s="3">
        <v>28</v>
      </c>
      <c r="G27">
        <v>71</v>
      </c>
      <c r="H27">
        <v>1</v>
      </c>
      <c r="I27">
        <v>0</v>
      </c>
      <c r="J27" s="3">
        <v>1</v>
      </c>
      <c r="K27">
        <v>69</v>
      </c>
      <c r="L27" s="3">
        <f t="shared" si="6"/>
        <v>32.799999999999997</v>
      </c>
    </row>
    <row r="28" spans="1:13" x14ac:dyDescent="0.3">
      <c r="A28" t="s">
        <v>12</v>
      </c>
      <c r="B28">
        <v>73</v>
      </c>
      <c r="C28">
        <v>75</v>
      </c>
      <c r="D28">
        <v>69</v>
      </c>
      <c r="E28">
        <v>75</v>
      </c>
      <c r="F28" s="3">
        <v>11</v>
      </c>
      <c r="G28">
        <v>74</v>
      </c>
      <c r="H28">
        <v>74</v>
      </c>
      <c r="I28">
        <v>1</v>
      </c>
      <c r="J28" s="3">
        <v>0</v>
      </c>
      <c r="K28">
        <v>74</v>
      </c>
      <c r="L28" s="6">
        <f t="shared" si="6"/>
        <v>52.6</v>
      </c>
    </row>
    <row r="29" spans="1:13" x14ac:dyDescent="0.3">
      <c r="F29" s="3"/>
      <c r="J29" s="3"/>
    </row>
    <row r="30" spans="1:13" x14ac:dyDescent="0.3">
      <c r="A30" t="s">
        <v>9</v>
      </c>
      <c r="B30">
        <v>75</v>
      </c>
      <c r="C30">
        <v>75</v>
      </c>
      <c r="D30">
        <v>75</v>
      </c>
      <c r="E30">
        <v>72</v>
      </c>
      <c r="F30" s="3">
        <v>1</v>
      </c>
      <c r="G30">
        <v>74</v>
      </c>
      <c r="H30">
        <v>38</v>
      </c>
      <c r="I30">
        <v>48</v>
      </c>
      <c r="J30">
        <v>55</v>
      </c>
      <c r="K30" s="3">
        <v>3</v>
      </c>
      <c r="L30" s="3">
        <f t="shared" si="6"/>
        <v>51.6</v>
      </c>
      <c r="M30" t="s">
        <v>5</v>
      </c>
    </row>
    <row r="31" spans="1:13" x14ac:dyDescent="0.3">
      <c r="A31" t="s">
        <v>15</v>
      </c>
      <c r="B31">
        <v>75</v>
      </c>
      <c r="C31">
        <v>69</v>
      </c>
      <c r="D31">
        <v>45</v>
      </c>
      <c r="E31">
        <v>46</v>
      </c>
      <c r="F31" s="3">
        <v>0</v>
      </c>
      <c r="G31">
        <v>73</v>
      </c>
      <c r="H31">
        <v>36</v>
      </c>
      <c r="I31">
        <v>0</v>
      </c>
      <c r="J31">
        <v>0</v>
      </c>
      <c r="K31" s="3">
        <v>0</v>
      </c>
      <c r="L31">
        <f t="shared" si="6"/>
        <v>34.4</v>
      </c>
    </row>
    <row r="32" spans="1:13" x14ac:dyDescent="0.3">
      <c r="A32" t="s">
        <v>11</v>
      </c>
      <c r="B32">
        <v>66</v>
      </c>
      <c r="C32">
        <v>0</v>
      </c>
      <c r="D32">
        <v>72</v>
      </c>
      <c r="E32">
        <v>0</v>
      </c>
      <c r="F32" s="3">
        <v>10</v>
      </c>
      <c r="G32">
        <v>74</v>
      </c>
      <c r="H32">
        <v>0</v>
      </c>
      <c r="I32">
        <v>4</v>
      </c>
      <c r="J32">
        <v>9</v>
      </c>
      <c r="K32" s="3">
        <v>8</v>
      </c>
      <c r="L32">
        <f t="shared" si="6"/>
        <v>24.3</v>
      </c>
    </row>
    <row r="33" spans="1:17" x14ac:dyDescent="0.3">
      <c r="A33" s="3" t="s">
        <v>13</v>
      </c>
      <c r="B33">
        <v>75</v>
      </c>
      <c r="C33">
        <v>75</v>
      </c>
      <c r="D33">
        <v>75</v>
      </c>
      <c r="E33">
        <v>72</v>
      </c>
      <c r="F33" s="3">
        <v>0</v>
      </c>
      <c r="G33">
        <v>74</v>
      </c>
      <c r="H33">
        <v>36</v>
      </c>
      <c r="I33">
        <v>3</v>
      </c>
      <c r="J33">
        <v>37</v>
      </c>
      <c r="K33" s="3">
        <v>3</v>
      </c>
      <c r="L33" s="5">
        <f t="shared" si="6"/>
        <v>45</v>
      </c>
    </row>
    <row r="34" spans="1:17" x14ac:dyDescent="0.3">
      <c r="F34" s="3"/>
      <c r="K34" s="3"/>
    </row>
    <row r="35" spans="1:17" x14ac:dyDescent="0.3">
      <c r="A35" t="s">
        <v>9</v>
      </c>
      <c r="B35">
        <v>74</v>
      </c>
      <c r="C35">
        <v>75</v>
      </c>
      <c r="D35">
        <v>74</v>
      </c>
      <c r="E35">
        <v>75</v>
      </c>
      <c r="F35">
        <v>39</v>
      </c>
      <c r="G35">
        <v>68</v>
      </c>
      <c r="H35" s="3">
        <v>17</v>
      </c>
      <c r="I35">
        <v>58</v>
      </c>
      <c r="J35" s="3">
        <v>0</v>
      </c>
      <c r="K35">
        <v>71</v>
      </c>
      <c r="L35" s="5">
        <f t="shared" si="6"/>
        <v>55.1</v>
      </c>
      <c r="M35" t="s">
        <v>7</v>
      </c>
    </row>
    <row r="36" spans="1:17" x14ac:dyDescent="0.3">
      <c r="A36" t="s">
        <v>15</v>
      </c>
      <c r="B36">
        <v>74</v>
      </c>
      <c r="C36">
        <v>75</v>
      </c>
      <c r="D36">
        <v>58</v>
      </c>
      <c r="E36">
        <v>75</v>
      </c>
      <c r="F36">
        <v>22</v>
      </c>
      <c r="G36">
        <v>68</v>
      </c>
      <c r="H36" s="3">
        <v>14</v>
      </c>
      <c r="I36">
        <v>46</v>
      </c>
      <c r="J36" s="3">
        <v>40</v>
      </c>
      <c r="K36">
        <v>72</v>
      </c>
      <c r="L36">
        <f t="shared" si="6"/>
        <v>54.4</v>
      </c>
    </row>
    <row r="37" spans="1:17" x14ac:dyDescent="0.3">
      <c r="A37" t="s">
        <v>11</v>
      </c>
      <c r="B37">
        <v>74</v>
      </c>
      <c r="C37">
        <v>71</v>
      </c>
      <c r="D37">
        <v>74</v>
      </c>
      <c r="E37">
        <v>30</v>
      </c>
      <c r="F37">
        <v>32</v>
      </c>
      <c r="G37">
        <v>69</v>
      </c>
      <c r="H37">
        <v>55</v>
      </c>
      <c r="I37">
        <v>37</v>
      </c>
      <c r="J37">
        <v>29</v>
      </c>
      <c r="K37">
        <v>71</v>
      </c>
      <c r="L37">
        <f t="shared" si="6"/>
        <v>54.2</v>
      </c>
    </row>
    <row r="38" spans="1:17" x14ac:dyDescent="0.3">
      <c r="A38" s="3" t="s">
        <v>13</v>
      </c>
      <c r="B38">
        <v>74</v>
      </c>
      <c r="C38">
        <v>75</v>
      </c>
      <c r="D38">
        <v>73</v>
      </c>
      <c r="E38">
        <v>75</v>
      </c>
      <c r="F38">
        <v>31</v>
      </c>
      <c r="G38">
        <v>69</v>
      </c>
      <c r="H38">
        <v>16</v>
      </c>
      <c r="I38">
        <v>69</v>
      </c>
      <c r="J38">
        <v>27</v>
      </c>
      <c r="K38">
        <v>72</v>
      </c>
      <c r="L38" s="6">
        <f t="shared" si="6"/>
        <v>58.1</v>
      </c>
    </row>
    <row r="40" spans="1:17" x14ac:dyDescent="0.3">
      <c r="A40" t="s">
        <v>9</v>
      </c>
      <c r="B40" t="s">
        <v>0</v>
      </c>
      <c r="C40" t="s">
        <v>2</v>
      </c>
      <c r="D40" t="s">
        <v>4</v>
      </c>
      <c r="E40" t="s">
        <v>6</v>
      </c>
      <c r="H40" t="s">
        <v>0</v>
      </c>
      <c r="I40" t="s">
        <v>2</v>
      </c>
      <c r="J40" t="s">
        <v>4</v>
      </c>
      <c r="K40" t="s">
        <v>6</v>
      </c>
      <c r="N40" t="s">
        <v>0</v>
      </c>
      <c r="O40" t="s">
        <v>2</v>
      </c>
      <c r="P40" t="s">
        <v>4</v>
      </c>
      <c r="Q40" t="s">
        <v>6</v>
      </c>
    </row>
    <row r="41" spans="1:17" x14ac:dyDescent="0.3">
      <c r="A41" s="2">
        <v>1</v>
      </c>
      <c r="B41">
        <v>70</v>
      </c>
      <c r="C41">
        <v>73</v>
      </c>
      <c r="D41">
        <v>75</v>
      </c>
      <c r="E41">
        <v>74</v>
      </c>
      <c r="G41">
        <v>1</v>
      </c>
      <c r="H41" s="1">
        <f>B41/75</f>
        <v>0.93333333333333335</v>
      </c>
      <c r="I41" s="1">
        <f t="shared" ref="I41:K41" si="7">C41/75</f>
        <v>0.97333333333333338</v>
      </c>
      <c r="J41" s="1">
        <f t="shared" si="7"/>
        <v>1</v>
      </c>
      <c r="K41" s="1">
        <f t="shared" si="7"/>
        <v>0.98666666666666669</v>
      </c>
      <c r="M41">
        <v>1</v>
      </c>
      <c r="N41">
        <v>0.93333333333333335</v>
      </c>
      <c r="O41">
        <v>0.97333333333333338</v>
      </c>
      <c r="P41">
        <v>1</v>
      </c>
      <c r="Q41">
        <v>0.98666666666666669</v>
      </c>
    </row>
    <row r="42" spans="1:17" x14ac:dyDescent="0.3">
      <c r="A42">
        <v>2</v>
      </c>
      <c r="B42">
        <v>46</v>
      </c>
      <c r="C42">
        <v>74</v>
      </c>
      <c r="D42">
        <v>75</v>
      </c>
      <c r="E42">
        <v>75</v>
      </c>
      <c r="G42">
        <v>2</v>
      </c>
      <c r="H42" s="1">
        <f t="shared" ref="H42:H50" si="8">B42/75</f>
        <v>0.61333333333333329</v>
      </c>
      <c r="I42" s="1">
        <f t="shared" ref="I42:I50" si="9">C42/75</f>
        <v>0.98666666666666669</v>
      </c>
      <c r="J42" s="1">
        <f t="shared" ref="J42:J50" si="10">D42/75</f>
        <v>1</v>
      </c>
      <c r="K42" s="1">
        <f t="shared" ref="K42:K50" si="11">E42/75</f>
        <v>1</v>
      </c>
      <c r="M42">
        <v>2</v>
      </c>
      <c r="N42">
        <v>0.61333333333333329</v>
      </c>
      <c r="O42">
        <v>0.98666666666666669</v>
      </c>
      <c r="P42">
        <v>1</v>
      </c>
      <c r="Q42">
        <v>1</v>
      </c>
    </row>
    <row r="43" spans="1:17" x14ac:dyDescent="0.3">
      <c r="A43">
        <v>3</v>
      </c>
      <c r="B43">
        <v>72</v>
      </c>
      <c r="C43">
        <v>70</v>
      </c>
      <c r="D43">
        <v>75</v>
      </c>
      <c r="E43">
        <v>74</v>
      </c>
      <c r="G43">
        <v>3</v>
      </c>
      <c r="H43" s="1">
        <f t="shared" si="8"/>
        <v>0.96</v>
      </c>
      <c r="I43" s="1">
        <f t="shared" si="9"/>
        <v>0.93333333333333335</v>
      </c>
      <c r="J43" s="1">
        <f t="shared" si="10"/>
        <v>1</v>
      </c>
      <c r="K43" s="1">
        <f t="shared" si="11"/>
        <v>0.98666666666666669</v>
      </c>
      <c r="M43">
        <v>3</v>
      </c>
      <c r="N43">
        <v>0.96</v>
      </c>
      <c r="O43">
        <v>0.93333333333333335</v>
      </c>
      <c r="P43">
        <v>1</v>
      </c>
      <c r="Q43">
        <v>0.98666666666666669</v>
      </c>
    </row>
    <row r="44" spans="1:17" x14ac:dyDescent="0.3">
      <c r="A44">
        <v>4</v>
      </c>
      <c r="B44">
        <v>65</v>
      </c>
      <c r="C44">
        <v>75</v>
      </c>
      <c r="D44">
        <v>72</v>
      </c>
      <c r="E44">
        <v>75</v>
      </c>
      <c r="G44">
        <v>4</v>
      </c>
      <c r="H44" s="1">
        <f t="shared" si="8"/>
        <v>0.8666666666666667</v>
      </c>
      <c r="I44" s="1">
        <f t="shared" si="9"/>
        <v>1</v>
      </c>
      <c r="J44" s="1">
        <f t="shared" si="10"/>
        <v>0.96</v>
      </c>
      <c r="K44" s="1">
        <f t="shared" si="11"/>
        <v>1</v>
      </c>
      <c r="M44">
        <v>4</v>
      </c>
      <c r="N44">
        <v>0.8666666666666667</v>
      </c>
      <c r="O44">
        <v>1</v>
      </c>
      <c r="P44">
        <v>0.96</v>
      </c>
      <c r="Q44">
        <v>1</v>
      </c>
    </row>
    <row r="45" spans="1:17" x14ac:dyDescent="0.3">
      <c r="A45">
        <v>5</v>
      </c>
      <c r="B45">
        <v>53</v>
      </c>
      <c r="C45" s="3">
        <v>13</v>
      </c>
      <c r="D45" s="3">
        <v>1</v>
      </c>
      <c r="E45">
        <v>39</v>
      </c>
      <c r="G45">
        <v>5</v>
      </c>
      <c r="H45" s="1">
        <f t="shared" si="8"/>
        <v>0.70666666666666667</v>
      </c>
      <c r="I45" s="4">
        <f t="shared" si="9"/>
        <v>0.17333333333333334</v>
      </c>
      <c r="J45" s="4">
        <f t="shared" si="10"/>
        <v>1.3333333333333334E-2</v>
      </c>
      <c r="K45" s="4">
        <f t="shared" si="11"/>
        <v>0.52</v>
      </c>
      <c r="M45">
        <v>5</v>
      </c>
      <c r="N45">
        <v>0.70666666666666667</v>
      </c>
      <c r="O45">
        <v>0.17333333333333334</v>
      </c>
      <c r="P45">
        <v>1.3333333333333334E-2</v>
      </c>
      <c r="Q45">
        <v>0.52</v>
      </c>
    </row>
    <row r="46" spans="1:17" x14ac:dyDescent="0.3">
      <c r="A46">
        <v>6</v>
      </c>
      <c r="B46">
        <v>68</v>
      </c>
      <c r="C46">
        <v>73</v>
      </c>
      <c r="D46">
        <v>74</v>
      </c>
      <c r="E46">
        <v>68</v>
      </c>
      <c r="G46">
        <v>6</v>
      </c>
      <c r="H46" s="1">
        <f t="shared" si="8"/>
        <v>0.90666666666666662</v>
      </c>
      <c r="I46" s="1">
        <f t="shared" si="9"/>
        <v>0.97333333333333338</v>
      </c>
      <c r="J46" s="1">
        <f t="shared" si="10"/>
        <v>0.98666666666666669</v>
      </c>
      <c r="K46" s="1">
        <f t="shared" si="11"/>
        <v>0.90666666666666662</v>
      </c>
      <c r="M46">
        <v>6</v>
      </c>
      <c r="N46">
        <v>0.90666666666666662</v>
      </c>
      <c r="O46">
        <v>0.97333333333333338</v>
      </c>
      <c r="P46">
        <v>0.98666666666666669</v>
      </c>
      <c r="Q46">
        <v>0.90666666666666662</v>
      </c>
    </row>
    <row r="47" spans="1:17" x14ac:dyDescent="0.3">
      <c r="A47">
        <v>7</v>
      </c>
      <c r="B47">
        <v>74</v>
      </c>
      <c r="C47">
        <v>74</v>
      </c>
      <c r="D47">
        <v>38</v>
      </c>
      <c r="E47">
        <v>17</v>
      </c>
      <c r="G47">
        <v>7</v>
      </c>
      <c r="H47" s="1">
        <f t="shared" si="8"/>
        <v>0.98666666666666669</v>
      </c>
      <c r="I47" s="1">
        <f t="shared" si="9"/>
        <v>0.98666666666666669</v>
      </c>
      <c r="J47" s="4">
        <f t="shared" si="10"/>
        <v>0.50666666666666671</v>
      </c>
      <c r="K47" s="1">
        <f t="shared" si="11"/>
        <v>0.22666666666666666</v>
      </c>
      <c r="M47">
        <v>7</v>
      </c>
      <c r="N47">
        <v>0.98666666666666669</v>
      </c>
      <c r="O47">
        <v>0.98666666666666669</v>
      </c>
      <c r="P47">
        <v>0.50666666666666671</v>
      </c>
      <c r="Q47">
        <v>0.22666666666666666</v>
      </c>
    </row>
    <row r="48" spans="1:17" x14ac:dyDescent="0.3">
      <c r="A48">
        <v>8</v>
      </c>
      <c r="B48">
        <v>64</v>
      </c>
      <c r="C48" s="3">
        <v>13</v>
      </c>
      <c r="D48">
        <v>48</v>
      </c>
      <c r="E48">
        <v>58</v>
      </c>
      <c r="G48">
        <v>8</v>
      </c>
      <c r="H48" s="1">
        <f t="shared" si="8"/>
        <v>0.85333333333333339</v>
      </c>
      <c r="I48" s="1">
        <f t="shared" si="9"/>
        <v>0.17333333333333334</v>
      </c>
      <c r="J48" s="1">
        <f t="shared" si="10"/>
        <v>0.64</v>
      </c>
      <c r="K48" s="1">
        <f t="shared" si="11"/>
        <v>0.77333333333333332</v>
      </c>
      <c r="M48">
        <v>8</v>
      </c>
      <c r="N48">
        <v>0.85333333333333339</v>
      </c>
      <c r="O48">
        <v>0.17333333333333334</v>
      </c>
      <c r="P48">
        <v>0.64</v>
      </c>
      <c r="Q48">
        <v>0.77333333333333332</v>
      </c>
    </row>
    <row r="49" spans="1:17" x14ac:dyDescent="0.3">
      <c r="A49">
        <v>9</v>
      </c>
      <c r="B49">
        <v>57</v>
      </c>
      <c r="C49" s="3">
        <v>2</v>
      </c>
      <c r="D49">
        <v>55</v>
      </c>
      <c r="E49" s="3">
        <v>0</v>
      </c>
      <c r="G49">
        <v>9</v>
      </c>
      <c r="H49" s="1">
        <f t="shared" si="8"/>
        <v>0.76</v>
      </c>
      <c r="I49" s="4">
        <f t="shared" si="9"/>
        <v>2.6666666666666668E-2</v>
      </c>
      <c r="J49" s="1">
        <f t="shared" si="10"/>
        <v>0.73333333333333328</v>
      </c>
      <c r="K49" s="4">
        <f t="shared" si="11"/>
        <v>0</v>
      </c>
      <c r="M49">
        <v>9</v>
      </c>
      <c r="N49">
        <v>0.76</v>
      </c>
      <c r="O49">
        <v>2.6666666666666668E-2</v>
      </c>
      <c r="P49">
        <v>0.73333333333333328</v>
      </c>
      <c r="Q49">
        <v>0</v>
      </c>
    </row>
    <row r="50" spans="1:17" x14ac:dyDescent="0.3">
      <c r="A50">
        <v>10</v>
      </c>
      <c r="B50">
        <v>48</v>
      </c>
      <c r="C50">
        <v>75</v>
      </c>
      <c r="D50" s="3">
        <v>3</v>
      </c>
      <c r="E50">
        <v>71</v>
      </c>
      <c r="G50">
        <v>10</v>
      </c>
      <c r="H50" s="1">
        <f t="shared" si="8"/>
        <v>0.64</v>
      </c>
      <c r="I50" s="1">
        <f t="shared" si="9"/>
        <v>1</v>
      </c>
      <c r="J50" s="1">
        <f t="shared" si="10"/>
        <v>0.04</v>
      </c>
      <c r="K50" s="1">
        <f t="shared" si="11"/>
        <v>0.94666666666666666</v>
      </c>
      <c r="M50">
        <v>10</v>
      </c>
      <c r="N50">
        <v>0.64</v>
      </c>
      <c r="O50">
        <v>1</v>
      </c>
      <c r="P50">
        <v>0.04</v>
      </c>
      <c r="Q50">
        <v>0.94666666666666666</v>
      </c>
    </row>
    <row r="51" spans="1:17" x14ac:dyDescent="0.3">
      <c r="H51" s="1">
        <f>MEDIAN(H41:H50)</f>
        <v>0.8600000000000001</v>
      </c>
      <c r="I51" s="1">
        <f t="shared" ref="I51:K51" si="12">MEDIAN(I41:I50)</f>
        <v>0.97333333333333338</v>
      </c>
      <c r="J51" s="1">
        <f t="shared" si="12"/>
        <v>0.84666666666666668</v>
      </c>
      <c r="K51" s="1">
        <f t="shared" si="12"/>
        <v>0.92666666666666664</v>
      </c>
      <c r="N51">
        <f>AVERAGE(N41:N50)</f>
        <v>0.82266666666666666</v>
      </c>
      <c r="O51">
        <f t="shared" ref="O51:Q51" si="13">AVERAGE(O41:O50)</f>
        <v>0.72266666666666657</v>
      </c>
      <c r="P51">
        <f t="shared" si="13"/>
        <v>0.68799999999999994</v>
      </c>
      <c r="Q51">
        <f t="shared" si="13"/>
        <v>0.73466666666666669</v>
      </c>
    </row>
    <row r="53" spans="1:17" x14ac:dyDescent="0.3">
      <c r="A53" t="s">
        <v>13</v>
      </c>
      <c r="B53" t="s">
        <v>0</v>
      </c>
      <c r="C53" t="s">
        <v>2</v>
      </c>
      <c r="D53" t="s">
        <v>4</v>
      </c>
      <c r="E53" t="s">
        <v>6</v>
      </c>
      <c r="H53" t="s">
        <v>0</v>
      </c>
      <c r="I53" t="s">
        <v>2</v>
      </c>
      <c r="J53" t="s">
        <v>4</v>
      </c>
      <c r="K53" t="s">
        <v>6</v>
      </c>
      <c r="N53" t="s">
        <v>0</v>
      </c>
      <c r="O53" t="s">
        <v>2</v>
      </c>
      <c r="P53" t="s">
        <v>4</v>
      </c>
      <c r="Q53" t="s">
        <v>6</v>
      </c>
    </row>
    <row r="54" spans="1:17" x14ac:dyDescent="0.3">
      <c r="A54">
        <v>1</v>
      </c>
      <c r="B54">
        <v>43</v>
      </c>
      <c r="C54">
        <v>73</v>
      </c>
      <c r="D54">
        <v>75</v>
      </c>
      <c r="E54">
        <v>74</v>
      </c>
      <c r="G54">
        <v>1</v>
      </c>
      <c r="H54" s="1">
        <f>B54/75</f>
        <v>0.57333333333333336</v>
      </c>
      <c r="I54" s="1">
        <f t="shared" ref="I54:K54" si="14">C54/75</f>
        <v>0.97333333333333338</v>
      </c>
      <c r="J54" s="1">
        <f t="shared" si="14"/>
        <v>1</v>
      </c>
      <c r="K54" s="1">
        <f t="shared" si="14"/>
        <v>0.98666666666666669</v>
      </c>
      <c r="M54">
        <v>1</v>
      </c>
      <c r="N54">
        <v>0.57333333333333336</v>
      </c>
      <c r="O54">
        <v>0.97333333333333338</v>
      </c>
      <c r="P54">
        <v>1</v>
      </c>
      <c r="Q54">
        <v>0.98666666666666669</v>
      </c>
    </row>
    <row r="55" spans="1:17" x14ac:dyDescent="0.3">
      <c r="A55">
        <v>2</v>
      </c>
      <c r="B55">
        <v>63</v>
      </c>
      <c r="C55">
        <v>75</v>
      </c>
      <c r="D55">
        <v>75</v>
      </c>
      <c r="E55">
        <v>75</v>
      </c>
      <c r="G55">
        <v>2</v>
      </c>
      <c r="H55" s="1">
        <f t="shared" ref="H55:H63" si="15">B55/75</f>
        <v>0.84</v>
      </c>
      <c r="I55" s="1">
        <f t="shared" ref="I55:I63" si="16">C55/75</f>
        <v>1</v>
      </c>
      <c r="J55" s="1">
        <f t="shared" ref="J55:J63" si="17">D55/75</f>
        <v>1</v>
      </c>
      <c r="K55" s="1">
        <f t="shared" ref="K55:K63" si="18">E55/75</f>
        <v>1</v>
      </c>
      <c r="M55">
        <v>2</v>
      </c>
      <c r="N55">
        <v>0.84</v>
      </c>
      <c r="O55">
        <v>1</v>
      </c>
      <c r="P55">
        <v>1</v>
      </c>
      <c r="Q55">
        <v>1</v>
      </c>
    </row>
    <row r="56" spans="1:17" x14ac:dyDescent="0.3">
      <c r="A56">
        <v>3</v>
      </c>
      <c r="B56">
        <v>57</v>
      </c>
      <c r="C56">
        <v>69</v>
      </c>
      <c r="D56">
        <v>75</v>
      </c>
      <c r="E56">
        <v>73</v>
      </c>
      <c r="G56">
        <v>3</v>
      </c>
      <c r="H56" s="1">
        <f t="shared" si="15"/>
        <v>0.76</v>
      </c>
      <c r="I56" s="1">
        <f t="shared" si="16"/>
        <v>0.92</v>
      </c>
      <c r="J56" s="1">
        <f t="shared" si="17"/>
        <v>1</v>
      </c>
      <c r="K56" s="1">
        <f t="shared" si="18"/>
        <v>0.97333333333333338</v>
      </c>
      <c r="M56">
        <v>3</v>
      </c>
      <c r="N56">
        <v>0.76</v>
      </c>
      <c r="O56">
        <v>0.92</v>
      </c>
      <c r="P56">
        <v>1</v>
      </c>
      <c r="Q56">
        <v>0.97333333333333338</v>
      </c>
    </row>
    <row r="57" spans="1:17" x14ac:dyDescent="0.3">
      <c r="A57">
        <v>4</v>
      </c>
      <c r="B57">
        <v>48</v>
      </c>
      <c r="C57">
        <v>75</v>
      </c>
      <c r="D57">
        <v>72</v>
      </c>
      <c r="E57">
        <v>75</v>
      </c>
      <c r="G57">
        <v>4</v>
      </c>
      <c r="H57" s="1">
        <f t="shared" si="15"/>
        <v>0.64</v>
      </c>
      <c r="I57" s="1">
        <f t="shared" si="16"/>
        <v>1</v>
      </c>
      <c r="J57" s="1">
        <f t="shared" si="17"/>
        <v>0.96</v>
      </c>
      <c r="K57" s="1">
        <f t="shared" si="18"/>
        <v>1</v>
      </c>
      <c r="M57">
        <v>4</v>
      </c>
      <c r="N57">
        <v>0.64</v>
      </c>
      <c r="O57">
        <v>1</v>
      </c>
      <c r="P57">
        <v>0.96</v>
      </c>
      <c r="Q57">
        <v>1</v>
      </c>
    </row>
    <row r="58" spans="1:17" x14ac:dyDescent="0.3">
      <c r="A58">
        <v>5</v>
      </c>
      <c r="B58">
        <v>68</v>
      </c>
      <c r="C58" s="3">
        <v>11</v>
      </c>
      <c r="D58" s="3">
        <v>0</v>
      </c>
      <c r="E58">
        <v>31</v>
      </c>
      <c r="G58">
        <v>5</v>
      </c>
      <c r="H58" s="1">
        <f t="shared" si="15"/>
        <v>0.90666666666666662</v>
      </c>
      <c r="I58" s="1">
        <f t="shared" si="16"/>
        <v>0.14666666666666667</v>
      </c>
      <c r="J58" s="1">
        <f t="shared" si="17"/>
        <v>0</v>
      </c>
      <c r="K58" s="1">
        <f t="shared" si="18"/>
        <v>0.41333333333333333</v>
      </c>
      <c r="M58">
        <v>5</v>
      </c>
      <c r="N58">
        <v>0.90666666666666662</v>
      </c>
      <c r="O58">
        <v>0.14666666666666667</v>
      </c>
      <c r="P58">
        <v>0</v>
      </c>
      <c r="Q58">
        <v>0.41333333333333333</v>
      </c>
    </row>
    <row r="59" spans="1:17" x14ac:dyDescent="0.3">
      <c r="A59">
        <v>6</v>
      </c>
      <c r="B59">
        <v>41</v>
      </c>
      <c r="C59">
        <v>74</v>
      </c>
      <c r="D59">
        <v>74</v>
      </c>
      <c r="E59">
        <v>69</v>
      </c>
      <c r="G59">
        <v>6</v>
      </c>
      <c r="H59" s="1">
        <f t="shared" si="15"/>
        <v>0.54666666666666663</v>
      </c>
      <c r="I59" s="1">
        <f t="shared" si="16"/>
        <v>0.98666666666666669</v>
      </c>
      <c r="J59" s="1">
        <f t="shared" si="17"/>
        <v>0.98666666666666669</v>
      </c>
      <c r="K59" s="1">
        <f t="shared" si="18"/>
        <v>0.92</v>
      </c>
      <c r="M59">
        <v>6</v>
      </c>
      <c r="N59">
        <v>0.54666666666666663</v>
      </c>
      <c r="O59">
        <v>0.98666666666666669</v>
      </c>
      <c r="P59">
        <v>0.98666666666666669</v>
      </c>
      <c r="Q59">
        <v>0.92</v>
      </c>
    </row>
    <row r="60" spans="1:17" x14ac:dyDescent="0.3">
      <c r="A60">
        <v>7</v>
      </c>
      <c r="B60">
        <v>67</v>
      </c>
      <c r="C60">
        <v>74</v>
      </c>
      <c r="D60">
        <v>36</v>
      </c>
      <c r="E60">
        <v>16</v>
      </c>
      <c r="G60">
        <v>7</v>
      </c>
      <c r="H60" s="1">
        <f t="shared" si="15"/>
        <v>0.89333333333333331</v>
      </c>
      <c r="I60" s="1">
        <f t="shared" si="16"/>
        <v>0.98666666666666669</v>
      </c>
      <c r="J60" s="1">
        <f t="shared" si="17"/>
        <v>0.48</v>
      </c>
      <c r="K60" s="1">
        <f t="shared" si="18"/>
        <v>0.21333333333333335</v>
      </c>
      <c r="M60">
        <v>7</v>
      </c>
      <c r="N60">
        <v>0.89333333333333331</v>
      </c>
      <c r="O60">
        <v>0.98666666666666669</v>
      </c>
      <c r="P60">
        <v>0.48</v>
      </c>
      <c r="Q60">
        <v>0.21333333333333335</v>
      </c>
    </row>
    <row r="61" spans="1:17" x14ac:dyDescent="0.3">
      <c r="A61">
        <v>8</v>
      </c>
      <c r="B61">
        <v>42</v>
      </c>
      <c r="C61" s="3">
        <v>1</v>
      </c>
      <c r="D61" s="3">
        <v>3</v>
      </c>
      <c r="E61">
        <v>69</v>
      </c>
      <c r="G61">
        <v>8</v>
      </c>
      <c r="H61" s="1">
        <f t="shared" si="15"/>
        <v>0.56000000000000005</v>
      </c>
      <c r="I61" s="1">
        <f t="shared" si="16"/>
        <v>1.3333333333333334E-2</v>
      </c>
      <c r="J61" s="1">
        <f t="shared" si="17"/>
        <v>0.04</v>
      </c>
      <c r="K61" s="1">
        <f t="shared" si="18"/>
        <v>0.92</v>
      </c>
      <c r="M61">
        <v>8</v>
      </c>
      <c r="N61">
        <v>0.56000000000000005</v>
      </c>
      <c r="O61">
        <v>1.3333333333333334E-2</v>
      </c>
      <c r="P61">
        <v>0.04</v>
      </c>
      <c r="Q61">
        <v>0.92</v>
      </c>
    </row>
    <row r="62" spans="1:17" x14ac:dyDescent="0.3">
      <c r="A62">
        <v>9</v>
      </c>
      <c r="B62">
        <v>47</v>
      </c>
      <c r="C62" s="3">
        <v>0</v>
      </c>
      <c r="D62">
        <v>37</v>
      </c>
      <c r="E62">
        <v>27</v>
      </c>
      <c r="G62">
        <v>9</v>
      </c>
      <c r="H62" s="1">
        <f t="shared" si="15"/>
        <v>0.62666666666666671</v>
      </c>
      <c r="I62" s="1">
        <f t="shared" si="16"/>
        <v>0</v>
      </c>
      <c r="J62" s="1">
        <f t="shared" si="17"/>
        <v>0.49333333333333335</v>
      </c>
      <c r="K62" s="1">
        <f t="shared" si="18"/>
        <v>0.36</v>
      </c>
      <c r="M62">
        <v>9</v>
      </c>
      <c r="N62">
        <v>0.62666666666666671</v>
      </c>
      <c r="O62">
        <v>0</v>
      </c>
      <c r="P62">
        <v>0.49333333333333335</v>
      </c>
      <c r="Q62">
        <v>0.36</v>
      </c>
    </row>
    <row r="63" spans="1:17" x14ac:dyDescent="0.3">
      <c r="A63">
        <v>10</v>
      </c>
      <c r="B63">
        <v>34</v>
      </c>
      <c r="C63">
        <v>74</v>
      </c>
      <c r="D63" s="3">
        <v>3</v>
      </c>
      <c r="E63">
        <v>72</v>
      </c>
      <c r="G63">
        <v>10</v>
      </c>
      <c r="H63" s="1">
        <f t="shared" si="15"/>
        <v>0.45333333333333331</v>
      </c>
      <c r="I63" s="1">
        <f t="shared" si="16"/>
        <v>0.98666666666666669</v>
      </c>
      <c r="J63" s="1">
        <f t="shared" si="17"/>
        <v>0.04</v>
      </c>
      <c r="K63" s="1">
        <f t="shared" si="18"/>
        <v>0.96</v>
      </c>
      <c r="M63">
        <v>10</v>
      </c>
      <c r="N63">
        <v>0.45333333333333331</v>
      </c>
      <c r="O63">
        <v>0.98666666666666669</v>
      </c>
      <c r="P63">
        <v>0.04</v>
      </c>
      <c r="Q63">
        <v>0.96</v>
      </c>
    </row>
    <row r="64" spans="1:17" x14ac:dyDescent="0.3">
      <c r="H64" s="1">
        <f>MEDIAN(H54:H63)</f>
        <v>0.6333333333333333</v>
      </c>
      <c r="I64" s="1">
        <f t="shared" ref="I64:K64" si="19">MEDIAN(I54:I63)</f>
        <v>0.98</v>
      </c>
      <c r="J64" s="1">
        <f t="shared" si="19"/>
        <v>0.72666666666666668</v>
      </c>
      <c r="K64" s="1">
        <f t="shared" si="19"/>
        <v>0.94</v>
      </c>
      <c r="N64">
        <f>AVERAGE(N54:N63)</f>
        <v>0.68</v>
      </c>
      <c r="O64">
        <f t="shared" ref="O64:Q64" si="20">AVERAGE(O54:O63)</f>
        <v>0.70133333333333325</v>
      </c>
      <c r="P64">
        <f t="shared" si="20"/>
        <v>0.59999999999999987</v>
      </c>
      <c r="Q64">
        <f t="shared" si="20"/>
        <v>0.77466666666666661</v>
      </c>
    </row>
    <row r="65" spans="1:17" x14ac:dyDescent="0.3">
      <c r="A65" t="s">
        <v>12</v>
      </c>
      <c r="B65" t="s">
        <v>0</v>
      </c>
      <c r="C65" t="s">
        <v>2</v>
      </c>
      <c r="D65" t="s">
        <v>4</v>
      </c>
      <c r="E65" t="s">
        <v>6</v>
      </c>
      <c r="G65" t="s">
        <v>12</v>
      </c>
      <c r="H65" t="s">
        <v>0</v>
      </c>
      <c r="I65" t="s">
        <v>2</v>
      </c>
      <c r="J65" t="s">
        <v>4</v>
      </c>
      <c r="K65" t="s">
        <v>6</v>
      </c>
      <c r="M65" t="s">
        <v>12</v>
      </c>
      <c r="N65" t="s">
        <v>0</v>
      </c>
      <c r="O65" t="s">
        <v>2</v>
      </c>
      <c r="P65" t="s">
        <v>4</v>
      </c>
      <c r="Q65" t="s">
        <v>6</v>
      </c>
    </row>
    <row r="66" spans="1:17" x14ac:dyDescent="0.3">
      <c r="A66">
        <v>1</v>
      </c>
      <c r="B66">
        <v>69</v>
      </c>
      <c r="C66">
        <v>73</v>
      </c>
      <c r="D66">
        <v>75</v>
      </c>
      <c r="E66">
        <v>74</v>
      </c>
      <c r="G66">
        <v>1</v>
      </c>
      <c r="H66" s="1">
        <f>B66/75</f>
        <v>0.92</v>
      </c>
      <c r="I66" s="1">
        <f t="shared" ref="I66:K66" si="21">C66/75</f>
        <v>0.97333333333333338</v>
      </c>
      <c r="J66" s="1">
        <f t="shared" si="21"/>
        <v>1</v>
      </c>
      <c r="K66" s="1">
        <f t="shared" si="21"/>
        <v>0.98666666666666669</v>
      </c>
      <c r="M66">
        <v>1</v>
      </c>
      <c r="N66" s="1">
        <v>0.92</v>
      </c>
      <c r="O66" s="1">
        <v>0.97333333333333338</v>
      </c>
      <c r="P66" s="1">
        <v>1</v>
      </c>
      <c r="Q66" s="1">
        <v>0.98666666666666669</v>
      </c>
    </row>
    <row r="67" spans="1:17" x14ac:dyDescent="0.3">
      <c r="A67">
        <v>2</v>
      </c>
      <c r="B67">
        <v>74</v>
      </c>
      <c r="C67">
        <v>75</v>
      </c>
      <c r="D67">
        <v>75</v>
      </c>
      <c r="E67">
        <v>75</v>
      </c>
      <c r="G67">
        <v>2</v>
      </c>
      <c r="H67" s="1">
        <f t="shared" ref="H67:H75" si="22">B67/75</f>
        <v>0.98666666666666669</v>
      </c>
      <c r="I67" s="1">
        <f t="shared" ref="I67:I75" si="23">C67/75</f>
        <v>1</v>
      </c>
      <c r="J67" s="1">
        <f t="shared" ref="J67:J75" si="24">D67/75</f>
        <v>1</v>
      </c>
      <c r="K67" s="1">
        <f t="shared" ref="K67:K75" si="25">E67/75</f>
        <v>1</v>
      </c>
      <c r="M67">
        <v>2</v>
      </c>
      <c r="N67" s="1">
        <v>0.98666666666666669</v>
      </c>
      <c r="O67" s="1">
        <v>1</v>
      </c>
      <c r="P67" s="1">
        <v>1</v>
      </c>
      <c r="Q67" s="1">
        <v>1</v>
      </c>
    </row>
    <row r="68" spans="1:17" x14ac:dyDescent="0.3">
      <c r="A68">
        <v>3</v>
      </c>
      <c r="B68">
        <v>72</v>
      </c>
      <c r="C68">
        <v>70</v>
      </c>
      <c r="D68">
        <v>74</v>
      </c>
      <c r="E68">
        <v>69</v>
      </c>
      <c r="G68">
        <v>3</v>
      </c>
      <c r="H68" s="1">
        <f t="shared" si="22"/>
        <v>0.96</v>
      </c>
      <c r="I68" s="1">
        <f t="shared" si="23"/>
        <v>0.93333333333333335</v>
      </c>
      <c r="J68" s="1">
        <f t="shared" si="24"/>
        <v>0.98666666666666669</v>
      </c>
      <c r="K68" s="1">
        <f t="shared" si="25"/>
        <v>0.92</v>
      </c>
      <c r="M68">
        <v>3</v>
      </c>
      <c r="N68" s="1">
        <v>0.96</v>
      </c>
      <c r="O68" s="1">
        <v>0.93333333333333335</v>
      </c>
      <c r="P68" s="1">
        <v>0.98666666666666669</v>
      </c>
      <c r="Q68" s="1">
        <v>0.92</v>
      </c>
    </row>
    <row r="69" spans="1:17" x14ac:dyDescent="0.3">
      <c r="A69">
        <v>4</v>
      </c>
      <c r="B69">
        <v>74</v>
      </c>
      <c r="C69">
        <v>74</v>
      </c>
      <c r="D69">
        <v>75</v>
      </c>
      <c r="E69">
        <v>75</v>
      </c>
      <c r="G69">
        <v>4</v>
      </c>
      <c r="H69" s="1">
        <f t="shared" si="22"/>
        <v>0.98666666666666669</v>
      </c>
      <c r="I69" s="1">
        <f t="shared" si="23"/>
        <v>0.98666666666666669</v>
      </c>
      <c r="J69" s="1">
        <f t="shared" si="24"/>
        <v>1</v>
      </c>
      <c r="K69" s="1">
        <f t="shared" si="25"/>
        <v>1</v>
      </c>
      <c r="M69">
        <v>4</v>
      </c>
      <c r="N69" s="1">
        <v>0.98666666666666669</v>
      </c>
      <c r="O69" s="1">
        <v>0.98666666666666669</v>
      </c>
      <c r="P69" s="1">
        <v>1</v>
      </c>
      <c r="Q69" s="1">
        <v>1</v>
      </c>
    </row>
    <row r="70" spans="1:17" x14ac:dyDescent="0.3">
      <c r="A70">
        <v>5</v>
      </c>
      <c r="B70">
        <v>21</v>
      </c>
      <c r="C70">
        <v>63</v>
      </c>
      <c r="D70">
        <v>43</v>
      </c>
      <c r="E70">
        <v>71</v>
      </c>
      <c r="G70">
        <v>5</v>
      </c>
      <c r="H70" s="1">
        <f t="shared" si="22"/>
        <v>0.28000000000000003</v>
      </c>
      <c r="I70" s="1">
        <f t="shared" si="23"/>
        <v>0.84</v>
      </c>
      <c r="J70" s="1">
        <f t="shared" si="24"/>
        <v>0.57333333333333336</v>
      </c>
      <c r="K70" s="1">
        <f t="shared" si="25"/>
        <v>0.94666666666666666</v>
      </c>
      <c r="M70">
        <v>5</v>
      </c>
      <c r="N70" s="1">
        <v>0.28000000000000003</v>
      </c>
      <c r="O70" s="1">
        <v>0.84</v>
      </c>
      <c r="P70" s="1">
        <v>0.57333333333333336</v>
      </c>
      <c r="Q70" s="1">
        <v>0.94666666666666666</v>
      </c>
    </row>
    <row r="71" spans="1:17" x14ac:dyDescent="0.3">
      <c r="A71">
        <v>6</v>
      </c>
      <c r="B71">
        <v>69</v>
      </c>
      <c r="C71">
        <v>73</v>
      </c>
      <c r="D71">
        <v>74</v>
      </c>
      <c r="E71">
        <v>72</v>
      </c>
      <c r="G71">
        <v>6</v>
      </c>
      <c r="H71" s="1">
        <f t="shared" si="22"/>
        <v>0.92</v>
      </c>
      <c r="I71" s="1">
        <f t="shared" si="23"/>
        <v>0.97333333333333338</v>
      </c>
      <c r="J71" s="1">
        <f t="shared" si="24"/>
        <v>0.98666666666666669</v>
      </c>
      <c r="K71" s="1">
        <f t="shared" si="25"/>
        <v>0.96</v>
      </c>
      <c r="M71">
        <v>6</v>
      </c>
      <c r="N71" s="1">
        <v>0.92</v>
      </c>
      <c r="O71" s="1">
        <v>0.97333333333333338</v>
      </c>
      <c r="P71" s="1">
        <v>0.98666666666666669</v>
      </c>
      <c r="Q71" s="1">
        <v>0.96</v>
      </c>
    </row>
    <row r="72" spans="1:17" x14ac:dyDescent="0.3">
      <c r="A72">
        <v>7</v>
      </c>
      <c r="B72">
        <v>75</v>
      </c>
      <c r="C72">
        <v>74</v>
      </c>
      <c r="D72">
        <v>59</v>
      </c>
      <c r="E72">
        <v>25</v>
      </c>
      <c r="G72">
        <v>7</v>
      </c>
      <c r="H72" s="1">
        <f t="shared" si="22"/>
        <v>1</v>
      </c>
      <c r="I72" s="1">
        <f t="shared" si="23"/>
        <v>0.98666666666666669</v>
      </c>
      <c r="J72" s="1">
        <f t="shared" si="24"/>
        <v>0.78666666666666663</v>
      </c>
      <c r="K72" s="1">
        <f t="shared" si="25"/>
        <v>0.33333333333333331</v>
      </c>
      <c r="M72">
        <v>7</v>
      </c>
      <c r="N72" s="1">
        <v>1</v>
      </c>
      <c r="O72" s="1">
        <v>0.98666666666666669</v>
      </c>
      <c r="P72" s="1">
        <v>0.78666666666666663</v>
      </c>
      <c r="Q72" s="1">
        <v>0.33333333333333331</v>
      </c>
    </row>
    <row r="73" spans="1:17" x14ac:dyDescent="0.3">
      <c r="A73">
        <v>8</v>
      </c>
      <c r="B73">
        <v>75</v>
      </c>
      <c r="C73">
        <v>20</v>
      </c>
      <c r="D73">
        <v>67</v>
      </c>
      <c r="E73">
        <v>72</v>
      </c>
      <c r="G73">
        <v>8</v>
      </c>
      <c r="H73" s="1">
        <f t="shared" si="22"/>
        <v>1</v>
      </c>
      <c r="I73" s="1">
        <f t="shared" si="23"/>
        <v>0.26666666666666666</v>
      </c>
      <c r="J73" s="1">
        <f t="shared" si="24"/>
        <v>0.89333333333333331</v>
      </c>
      <c r="K73" s="1">
        <f t="shared" si="25"/>
        <v>0.96</v>
      </c>
      <c r="M73">
        <v>8</v>
      </c>
      <c r="N73" s="1">
        <v>1</v>
      </c>
      <c r="O73" s="1">
        <v>0.26666666666666666</v>
      </c>
      <c r="P73" s="1">
        <v>0.89333333333333331</v>
      </c>
      <c r="Q73" s="1">
        <v>0.96</v>
      </c>
    </row>
    <row r="74" spans="1:17" x14ac:dyDescent="0.3">
      <c r="A74">
        <v>9</v>
      </c>
      <c r="B74">
        <v>75</v>
      </c>
      <c r="C74">
        <v>2</v>
      </c>
      <c r="D74">
        <v>65</v>
      </c>
      <c r="E74">
        <v>1</v>
      </c>
      <c r="G74">
        <v>9</v>
      </c>
      <c r="H74" s="1">
        <f t="shared" si="22"/>
        <v>1</v>
      </c>
      <c r="I74" s="13">
        <f t="shared" si="23"/>
        <v>2.6666666666666668E-2</v>
      </c>
      <c r="J74" s="1">
        <f t="shared" si="24"/>
        <v>0.8666666666666667</v>
      </c>
      <c r="K74" s="13">
        <f t="shared" si="25"/>
        <v>1.3333333333333334E-2</v>
      </c>
      <c r="M74">
        <v>10</v>
      </c>
      <c r="N74" s="1">
        <v>0.94666666666666666</v>
      </c>
      <c r="O74" s="1">
        <v>1</v>
      </c>
      <c r="P74" s="1">
        <v>0.68</v>
      </c>
      <c r="Q74" s="1">
        <v>0.93333333333333335</v>
      </c>
    </row>
    <row r="75" spans="1:17" x14ac:dyDescent="0.3">
      <c r="A75">
        <v>10</v>
      </c>
      <c r="B75">
        <v>71</v>
      </c>
      <c r="C75">
        <v>75</v>
      </c>
      <c r="D75">
        <v>51</v>
      </c>
      <c r="E75">
        <v>70</v>
      </c>
      <c r="G75">
        <v>10</v>
      </c>
      <c r="H75" s="1">
        <f t="shared" si="22"/>
        <v>0.94666666666666666</v>
      </c>
      <c r="I75" s="1">
        <f t="shared" si="23"/>
        <v>1</v>
      </c>
      <c r="J75" s="1">
        <f t="shared" si="24"/>
        <v>0.68</v>
      </c>
      <c r="K75" s="1">
        <f t="shared" si="25"/>
        <v>0.93333333333333335</v>
      </c>
      <c r="N75" s="1">
        <f>AVERAGE(N66:N74)</f>
        <v>0.88888888888888884</v>
      </c>
      <c r="O75" s="1">
        <f>AVERAGE(O66:O74)</f>
        <v>0.88444444444444448</v>
      </c>
      <c r="P75" s="1">
        <f>AVERAGE(P66:P74)</f>
        <v>0.87851851851851859</v>
      </c>
      <c r="Q75" s="1">
        <f>AVERAGE(Q66:Q74)</f>
        <v>0.8933333333333332</v>
      </c>
    </row>
    <row r="76" spans="1:17" x14ac:dyDescent="0.3">
      <c r="H76" s="1">
        <f>AVERAGE(H66:H75)</f>
        <v>0.90000000000000013</v>
      </c>
      <c r="I76" s="1">
        <f t="shared" ref="I76:K76" si="26">AVERAGE(I66:I75)</f>
        <v>0.79866666666666664</v>
      </c>
      <c r="J76" s="1">
        <f t="shared" si="26"/>
        <v>0.8773333333333333</v>
      </c>
      <c r="K76" s="1">
        <f t="shared" si="26"/>
        <v>0.80533333333333323</v>
      </c>
    </row>
    <row r="79" spans="1:17" x14ac:dyDescent="0.3">
      <c r="G79" s="7" t="s">
        <v>12</v>
      </c>
      <c r="H79" s="7" t="s">
        <v>0</v>
      </c>
      <c r="I79" s="7" t="s">
        <v>2</v>
      </c>
      <c r="J79" s="7" t="s">
        <v>4</v>
      </c>
      <c r="K79" s="7" t="s">
        <v>6</v>
      </c>
      <c r="M79" s="7"/>
      <c r="N79" s="7" t="s">
        <v>0</v>
      </c>
      <c r="O79" s="7" t="s">
        <v>2</v>
      </c>
      <c r="P79" s="7" t="s">
        <v>4</v>
      </c>
      <c r="Q79" s="7" t="s">
        <v>6</v>
      </c>
    </row>
    <row r="80" spans="1:17" x14ac:dyDescent="0.3">
      <c r="B80">
        <v>0.76</v>
      </c>
      <c r="C80">
        <v>0.78666666666666696</v>
      </c>
      <c r="D80">
        <v>0.81333333333333302</v>
      </c>
      <c r="E80">
        <v>0.68</v>
      </c>
      <c r="G80" s="7">
        <v>1</v>
      </c>
      <c r="H80" s="8">
        <v>0.92</v>
      </c>
      <c r="I80" s="8">
        <v>0.97333333333333338</v>
      </c>
      <c r="J80" s="8">
        <v>1</v>
      </c>
      <c r="K80" s="8">
        <v>0.98666666666666669</v>
      </c>
      <c r="M80" s="7">
        <v>1</v>
      </c>
      <c r="N80" s="8">
        <v>0.76</v>
      </c>
      <c r="O80" s="8">
        <v>0.78666666666666696</v>
      </c>
      <c r="P80" s="8">
        <v>0.81333333333333302</v>
      </c>
      <c r="Q80" s="8">
        <v>0.68</v>
      </c>
    </row>
    <row r="81" spans="2:17" x14ac:dyDescent="0.3">
      <c r="B81">
        <v>0.92</v>
      </c>
      <c r="C81">
        <v>0.96</v>
      </c>
      <c r="D81">
        <v>1</v>
      </c>
      <c r="E81">
        <v>0.98666666666666702</v>
      </c>
      <c r="G81" s="9">
        <v>2</v>
      </c>
      <c r="H81" s="10">
        <v>0.98666666666666669</v>
      </c>
      <c r="I81" s="10">
        <v>1</v>
      </c>
      <c r="J81" s="10">
        <v>1</v>
      </c>
      <c r="K81" s="10">
        <v>1</v>
      </c>
      <c r="M81" s="9">
        <v>2</v>
      </c>
      <c r="N81" s="10">
        <v>0.92</v>
      </c>
      <c r="O81" s="10">
        <v>0.96</v>
      </c>
      <c r="P81" s="10">
        <v>1</v>
      </c>
      <c r="Q81" s="10">
        <v>0.98666666666666702</v>
      </c>
    </row>
    <row r="82" spans="2:17" x14ac:dyDescent="0.3">
      <c r="B82">
        <v>0.85333333333333306</v>
      </c>
      <c r="C82">
        <v>0.86666666666666703</v>
      </c>
      <c r="D82">
        <v>0.78666666666666696</v>
      </c>
      <c r="E82">
        <v>0.74666666666666703</v>
      </c>
      <c r="G82" s="9">
        <v>3</v>
      </c>
      <c r="H82" s="10">
        <v>0.96</v>
      </c>
      <c r="I82" s="10">
        <v>0.93333333333333335</v>
      </c>
      <c r="J82" s="10">
        <v>0.98666666666666669</v>
      </c>
      <c r="K82" s="10">
        <v>0.92</v>
      </c>
      <c r="M82" s="9">
        <v>3</v>
      </c>
      <c r="N82" s="10">
        <v>0.85333333333333306</v>
      </c>
      <c r="O82" s="10">
        <v>0.86666666666666703</v>
      </c>
      <c r="P82" s="10">
        <v>0.78666666666666696</v>
      </c>
      <c r="Q82" s="10">
        <v>0.74666666666666703</v>
      </c>
    </row>
    <row r="83" spans="2:17" x14ac:dyDescent="0.3">
      <c r="B83">
        <v>0.89333333333333298</v>
      </c>
      <c r="C83">
        <v>0.93333333333333302</v>
      </c>
      <c r="D83">
        <v>0.89333333333333298</v>
      </c>
      <c r="E83">
        <v>0.93333333333333302</v>
      </c>
      <c r="G83" s="9">
        <v>4</v>
      </c>
      <c r="H83" s="10">
        <v>0.98666666666666669</v>
      </c>
      <c r="I83" s="10">
        <v>0.98666666666666669</v>
      </c>
      <c r="J83" s="10">
        <v>1</v>
      </c>
      <c r="K83" s="10">
        <v>1</v>
      </c>
      <c r="M83" s="9">
        <v>4</v>
      </c>
      <c r="N83" s="10">
        <v>0.89333333333333298</v>
      </c>
      <c r="O83" s="10">
        <v>0.93333333333333302</v>
      </c>
      <c r="P83" s="10">
        <v>0.89333333333333298</v>
      </c>
      <c r="Q83" s="10">
        <v>0.93333333333333302</v>
      </c>
    </row>
    <row r="84" spans="2:17" x14ac:dyDescent="0.3">
      <c r="B84">
        <v>0.4</v>
      </c>
      <c r="C84">
        <v>0.77333333333333298</v>
      </c>
      <c r="D84">
        <v>0.53333333333333299</v>
      </c>
      <c r="E84">
        <v>0.85333333333333306</v>
      </c>
      <c r="G84" s="9">
        <v>5</v>
      </c>
      <c r="H84" s="10">
        <v>0.28000000000000003</v>
      </c>
      <c r="I84" s="10">
        <v>0.84</v>
      </c>
      <c r="J84" s="10">
        <v>0.57333333333333336</v>
      </c>
      <c r="K84" s="10">
        <v>0.94666666666666666</v>
      </c>
      <c r="M84" s="9">
        <v>5</v>
      </c>
      <c r="N84" s="10">
        <v>0.4</v>
      </c>
      <c r="O84" s="10">
        <v>0.77333333333333298</v>
      </c>
      <c r="P84" s="10">
        <v>0.53333333333333299</v>
      </c>
      <c r="Q84" s="10">
        <v>0.85333333333333306</v>
      </c>
    </row>
    <row r="85" spans="2:17" x14ac:dyDescent="0.3">
      <c r="B85">
        <v>0.53333333333333299</v>
      </c>
      <c r="C85">
        <v>0.66666666666666696</v>
      </c>
      <c r="D85">
        <v>0.73333333333333295</v>
      </c>
      <c r="E85">
        <v>0.62666666666666704</v>
      </c>
      <c r="G85" s="9">
        <v>6</v>
      </c>
      <c r="H85" s="10">
        <v>0.92</v>
      </c>
      <c r="I85" s="10">
        <v>0.97333333333333338</v>
      </c>
      <c r="J85" s="10">
        <v>0.98666666666666669</v>
      </c>
      <c r="K85" s="10">
        <v>0.96</v>
      </c>
      <c r="M85" s="9">
        <v>6</v>
      </c>
      <c r="N85" s="10">
        <v>0.53333333333333299</v>
      </c>
      <c r="O85" s="10">
        <v>0.66666666666666696</v>
      </c>
      <c r="P85" s="10">
        <v>0.73333333333333295</v>
      </c>
      <c r="Q85" s="10">
        <v>0.62666666666666704</v>
      </c>
    </row>
    <row r="86" spans="2:17" x14ac:dyDescent="0.3">
      <c r="B86">
        <v>0.97333333333333305</v>
      </c>
      <c r="C86">
        <v>0.97333333333333305</v>
      </c>
      <c r="D86">
        <v>0.77333333333333298</v>
      </c>
      <c r="E86">
        <v>0.10666666666666701</v>
      </c>
      <c r="G86" s="9">
        <v>7</v>
      </c>
      <c r="H86" s="10">
        <v>1</v>
      </c>
      <c r="I86" s="10">
        <v>0.98666666666666669</v>
      </c>
      <c r="J86" s="10">
        <v>0.78666666666666663</v>
      </c>
      <c r="K86" s="10">
        <v>0.33333333333333331</v>
      </c>
      <c r="M86" s="9">
        <v>7</v>
      </c>
      <c r="N86" s="10">
        <v>0.97333333333333305</v>
      </c>
      <c r="O86" s="10">
        <v>0.97333333333333305</v>
      </c>
      <c r="P86" s="10">
        <v>0.77333333333333298</v>
      </c>
      <c r="Q86" s="10">
        <v>0.10666666666666701</v>
      </c>
    </row>
    <row r="87" spans="2:17" x14ac:dyDescent="0.3">
      <c r="B87">
        <v>0.73333333333333295</v>
      </c>
      <c r="C87">
        <v>0.17333333333333301</v>
      </c>
      <c r="D87">
        <v>0.81333333333333302</v>
      </c>
      <c r="E87">
        <v>0.90666666666666695</v>
      </c>
      <c r="G87" s="9">
        <v>8</v>
      </c>
      <c r="H87" s="10">
        <v>1</v>
      </c>
      <c r="I87" s="10">
        <v>0.26666666666666666</v>
      </c>
      <c r="J87" s="10">
        <v>0.89333333333333331</v>
      </c>
      <c r="K87" s="10">
        <v>0.96</v>
      </c>
      <c r="M87" s="9">
        <v>8</v>
      </c>
      <c r="N87" s="10">
        <v>0.73333333333333295</v>
      </c>
      <c r="O87" s="10">
        <v>0.17333333333333301</v>
      </c>
      <c r="P87" s="10">
        <v>0.81333333333333302</v>
      </c>
      <c r="Q87" s="10">
        <v>0.90666666666666695</v>
      </c>
    </row>
    <row r="88" spans="2:17" x14ac:dyDescent="0.3">
      <c r="B88">
        <v>0.73333333333333295</v>
      </c>
      <c r="C88">
        <v>0.81333333333333302</v>
      </c>
      <c r="D88">
        <v>0.73333333333333295</v>
      </c>
      <c r="E88">
        <v>0.706666666666667</v>
      </c>
      <c r="G88" s="9">
        <v>9</v>
      </c>
      <c r="H88" s="10">
        <v>1</v>
      </c>
      <c r="I88" s="14">
        <v>2.6666666666666668E-2</v>
      </c>
      <c r="J88" s="10">
        <v>0.8666666666666667</v>
      </c>
      <c r="K88" s="14">
        <v>1.3333333333333334E-2</v>
      </c>
      <c r="M88" s="9">
        <v>9</v>
      </c>
      <c r="N88" s="10">
        <v>0.6</v>
      </c>
      <c r="O88" s="14">
        <v>0.08</v>
      </c>
      <c r="P88" s="10">
        <v>0.85333333333333306</v>
      </c>
      <c r="Q88" s="14">
        <v>1.3333333333333299E-2</v>
      </c>
    </row>
    <row r="89" spans="2:17" x14ac:dyDescent="0.3">
      <c r="B89">
        <f>AVERAGE(B80:B88)</f>
        <v>0.7555555555555552</v>
      </c>
      <c r="C89">
        <f>AVERAGE(C80:C88)</f>
        <v>0.77185185185185168</v>
      </c>
      <c r="D89">
        <f>AVERAGE(D80:D88)</f>
        <v>0.78666666666666651</v>
      </c>
      <c r="E89">
        <f>AVERAGE(E80:E88)</f>
        <v>0.72740740740740761</v>
      </c>
      <c r="G89" s="9">
        <v>10</v>
      </c>
      <c r="H89" s="10">
        <v>0.94666666666666666</v>
      </c>
      <c r="I89" s="10">
        <v>1</v>
      </c>
      <c r="J89" s="10">
        <v>0.68</v>
      </c>
      <c r="K89" s="10">
        <v>0.93333333333333335</v>
      </c>
      <c r="M89" s="9">
        <v>10</v>
      </c>
      <c r="N89" s="10">
        <v>0.73333333333333295</v>
      </c>
      <c r="O89" s="10">
        <v>0.81333333333333302</v>
      </c>
      <c r="P89" s="10">
        <v>0.73333333333333295</v>
      </c>
      <c r="Q89" s="10">
        <v>0.706666666666667</v>
      </c>
    </row>
    <row r="90" spans="2:17" x14ac:dyDescent="0.3">
      <c r="G90" s="11" t="s">
        <v>17</v>
      </c>
      <c r="H90" s="12">
        <v>0.88888888888888884</v>
      </c>
      <c r="I90" s="12">
        <v>0.88444444444444448</v>
      </c>
      <c r="J90" s="12">
        <v>0.87851851851851859</v>
      </c>
      <c r="K90" s="12">
        <v>0.8933333333333332</v>
      </c>
      <c r="M90" s="11" t="s">
        <v>17</v>
      </c>
      <c r="N90" s="12">
        <v>0.7555555555555552</v>
      </c>
      <c r="O90" s="12">
        <v>0.77185185185185168</v>
      </c>
      <c r="P90" s="12">
        <v>0.78666666666666651</v>
      </c>
      <c r="Q90" s="12">
        <v>0.72740740740740761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1457-849C-45D5-A81F-F686B4AA7F0D}">
  <dimension ref="A1:M57"/>
  <sheetViews>
    <sheetView workbookViewId="0">
      <selection activeCell="A36" sqref="A36:J50"/>
    </sheetView>
  </sheetViews>
  <sheetFormatPr defaultRowHeight="14" x14ac:dyDescent="0.3"/>
  <sheetData>
    <row r="1" spans="1:13" x14ac:dyDescent="0.3">
      <c r="A1">
        <v>0</v>
      </c>
      <c r="B1">
        <v>3</v>
      </c>
      <c r="C1">
        <v>2</v>
      </c>
      <c r="D1">
        <v>1</v>
      </c>
      <c r="E1">
        <v>0</v>
      </c>
      <c r="F1">
        <v>0</v>
      </c>
      <c r="G1">
        <v>1</v>
      </c>
      <c r="H1">
        <v>2</v>
      </c>
      <c r="I1">
        <v>4</v>
      </c>
      <c r="J1">
        <v>0</v>
      </c>
      <c r="K1">
        <f>SUM(A1:J1)</f>
        <v>13</v>
      </c>
      <c r="L1" s="3">
        <f>1-K1/50</f>
        <v>0.74</v>
      </c>
    </row>
    <row r="2" spans="1:13" x14ac:dyDescent="0.3">
      <c r="A2">
        <v>0</v>
      </c>
      <c r="B2">
        <v>0</v>
      </c>
      <c r="C2">
        <v>0</v>
      </c>
      <c r="D2">
        <v>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f t="shared" ref="K2:K51" si="0">SUM(A2:J2)</f>
        <v>6</v>
      </c>
      <c r="L2">
        <f t="shared" ref="L2:L33" si="1">1-K2/50</f>
        <v>0.88</v>
      </c>
    </row>
    <row r="3" spans="1:13" x14ac:dyDescent="0.3">
      <c r="A3">
        <v>0</v>
      </c>
      <c r="B3">
        <v>0</v>
      </c>
      <c r="C3">
        <v>1</v>
      </c>
      <c r="D3">
        <v>0</v>
      </c>
      <c r="E3">
        <v>0</v>
      </c>
      <c r="F3">
        <v>2</v>
      </c>
      <c r="G3">
        <v>0</v>
      </c>
      <c r="H3">
        <v>0</v>
      </c>
      <c r="I3">
        <v>1</v>
      </c>
      <c r="J3">
        <v>1</v>
      </c>
      <c r="K3">
        <f t="shared" si="0"/>
        <v>5</v>
      </c>
      <c r="L3">
        <f t="shared" si="1"/>
        <v>0.9</v>
      </c>
    </row>
    <row r="4" spans="1:13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f t="shared" si="0"/>
        <v>2</v>
      </c>
      <c r="L4">
        <f t="shared" si="1"/>
        <v>0.96</v>
      </c>
    </row>
    <row r="5" spans="1:13" x14ac:dyDescent="0.3">
      <c r="A5">
        <v>1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2</v>
      </c>
      <c r="I5">
        <v>1</v>
      </c>
      <c r="J5">
        <v>1</v>
      </c>
      <c r="K5">
        <f t="shared" si="0"/>
        <v>7</v>
      </c>
      <c r="L5">
        <f t="shared" si="1"/>
        <v>0.86</v>
      </c>
    </row>
    <row r="6" spans="1:13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f t="shared" si="0"/>
        <v>2</v>
      </c>
      <c r="L6">
        <f t="shared" si="1"/>
        <v>0.96</v>
      </c>
    </row>
    <row r="7" spans="1:13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f t="shared" si="0"/>
        <v>2</v>
      </c>
      <c r="L7">
        <f t="shared" si="1"/>
        <v>0.96</v>
      </c>
    </row>
    <row r="8" spans="1:13" x14ac:dyDescent="0.3">
      <c r="A8">
        <v>0</v>
      </c>
      <c r="B8">
        <v>1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2</v>
      </c>
      <c r="K8">
        <f t="shared" si="0"/>
        <v>5</v>
      </c>
      <c r="L8">
        <f t="shared" si="1"/>
        <v>0.9</v>
      </c>
    </row>
    <row r="9" spans="1:13" x14ac:dyDescent="0.3">
      <c r="A9">
        <v>0</v>
      </c>
      <c r="B9">
        <v>0</v>
      </c>
      <c r="C9">
        <v>2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f t="shared" si="0"/>
        <v>3</v>
      </c>
      <c r="L9">
        <f t="shared" si="1"/>
        <v>0.94</v>
      </c>
    </row>
    <row r="10" spans="1:13" x14ac:dyDescent="0.3">
      <c r="A10">
        <v>2</v>
      </c>
      <c r="B10">
        <v>0</v>
      </c>
      <c r="C10">
        <v>1</v>
      </c>
      <c r="D10">
        <v>1</v>
      </c>
      <c r="E10">
        <v>0</v>
      </c>
      <c r="F10">
        <v>2</v>
      </c>
      <c r="G10">
        <v>0</v>
      </c>
      <c r="H10">
        <v>0</v>
      </c>
      <c r="I10">
        <v>0</v>
      </c>
      <c r="J10">
        <v>2</v>
      </c>
      <c r="K10">
        <f t="shared" si="0"/>
        <v>8</v>
      </c>
      <c r="L10">
        <f t="shared" si="1"/>
        <v>0.84</v>
      </c>
    </row>
    <row r="11" spans="1:13" x14ac:dyDescent="0.3">
      <c r="A11">
        <v>2</v>
      </c>
      <c r="B11">
        <v>0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2</v>
      </c>
      <c r="J11">
        <v>2</v>
      </c>
      <c r="K11">
        <f t="shared" si="0"/>
        <v>8</v>
      </c>
      <c r="L11">
        <f t="shared" si="1"/>
        <v>0.84</v>
      </c>
    </row>
    <row r="12" spans="1:13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f t="shared" si="0"/>
        <v>2</v>
      </c>
      <c r="L12">
        <f t="shared" si="1"/>
        <v>0.96</v>
      </c>
    </row>
    <row r="13" spans="1:13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f t="shared" si="0"/>
        <v>1</v>
      </c>
      <c r="L13">
        <f t="shared" si="1"/>
        <v>0.98</v>
      </c>
    </row>
    <row r="14" spans="1:13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f t="shared" si="0"/>
        <v>3</v>
      </c>
      <c r="L14">
        <f t="shared" si="1"/>
        <v>0.94</v>
      </c>
    </row>
    <row r="15" spans="1:13" x14ac:dyDescent="0.3">
      <c r="A15">
        <v>1</v>
      </c>
      <c r="B15">
        <v>0</v>
      </c>
      <c r="C15">
        <v>1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2</v>
      </c>
      <c r="K15">
        <f t="shared" si="0"/>
        <v>6</v>
      </c>
      <c r="L15">
        <f t="shared" si="1"/>
        <v>0.88</v>
      </c>
    </row>
    <row r="16" spans="1:13" x14ac:dyDescent="0.3">
      <c r="A16">
        <f>SUM(A1:A15)</f>
        <v>6</v>
      </c>
      <c r="B16">
        <f t="shared" ref="B16:J16" si="2">SUM(B1:B15)</f>
        <v>4</v>
      </c>
      <c r="C16">
        <f t="shared" si="2"/>
        <v>7</v>
      </c>
      <c r="D16">
        <f t="shared" si="2"/>
        <v>4</v>
      </c>
      <c r="E16">
        <f t="shared" si="2"/>
        <v>0</v>
      </c>
      <c r="F16">
        <f t="shared" si="2"/>
        <v>19</v>
      </c>
      <c r="G16">
        <f t="shared" si="2"/>
        <v>2</v>
      </c>
      <c r="H16">
        <f t="shared" si="2"/>
        <v>6</v>
      </c>
      <c r="I16">
        <f t="shared" si="2"/>
        <v>9</v>
      </c>
      <c r="J16">
        <f t="shared" si="2"/>
        <v>16</v>
      </c>
      <c r="K16">
        <f t="shared" si="0"/>
        <v>73</v>
      </c>
      <c r="L16">
        <f>1-K16/750</f>
        <v>0.90266666666666673</v>
      </c>
      <c r="M16" t="s">
        <v>1</v>
      </c>
    </row>
    <row r="17" spans="1:13" x14ac:dyDescent="0.3">
      <c r="L17">
        <f t="shared" si="1"/>
        <v>1</v>
      </c>
    </row>
    <row r="18" spans="1:13" x14ac:dyDescent="0.3">
      <c r="L18">
        <f t="shared" si="1"/>
        <v>1</v>
      </c>
    </row>
    <row r="19" spans="1:13" x14ac:dyDescent="0.3">
      <c r="A19">
        <v>2</v>
      </c>
      <c r="B19">
        <v>2</v>
      </c>
      <c r="C19">
        <v>1</v>
      </c>
      <c r="D19">
        <v>2</v>
      </c>
      <c r="E19">
        <v>1</v>
      </c>
      <c r="F19">
        <v>0</v>
      </c>
      <c r="G19">
        <v>1</v>
      </c>
      <c r="H19">
        <v>0</v>
      </c>
      <c r="I19">
        <v>4</v>
      </c>
      <c r="J19">
        <v>0</v>
      </c>
      <c r="K19">
        <f t="shared" si="0"/>
        <v>13</v>
      </c>
      <c r="L19" s="3">
        <f t="shared" si="1"/>
        <v>0.74</v>
      </c>
      <c r="M19" t="s">
        <v>3</v>
      </c>
    </row>
    <row r="20" spans="1:13" x14ac:dyDescent="0.3">
      <c r="A20">
        <v>1</v>
      </c>
      <c r="B20">
        <v>0</v>
      </c>
      <c r="C20">
        <v>0</v>
      </c>
      <c r="D20">
        <v>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f t="shared" si="0"/>
        <v>4</v>
      </c>
      <c r="L20">
        <f t="shared" si="1"/>
        <v>0.92</v>
      </c>
    </row>
    <row r="21" spans="1:13" x14ac:dyDescent="0.3">
      <c r="A21">
        <v>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f t="shared" si="0"/>
        <v>3</v>
      </c>
      <c r="L21">
        <f t="shared" si="1"/>
        <v>0.94</v>
      </c>
    </row>
    <row r="22" spans="1:13" x14ac:dyDescent="0.3">
      <c r="A22">
        <v>2</v>
      </c>
      <c r="B22">
        <v>0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2</v>
      </c>
      <c r="K22">
        <f t="shared" si="0"/>
        <v>6</v>
      </c>
      <c r="L22">
        <f t="shared" si="1"/>
        <v>0.88</v>
      </c>
    </row>
    <row r="23" spans="1:13" x14ac:dyDescent="0.3">
      <c r="A23">
        <v>2</v>
      </c>
      <c r="B23">
        <v>0</v>
      </c>
      <c r="C23">
        <v>1</v>
      </c>
      <c r="D23">
        <v>0</v>
      </c>
      <c r="E23">
        <v>1</v>
      </c>
      <c r="F23">
        <v>4</v>
      </c>
      <c r="G23">
        <v>0</v>
      </c>
      <c r="H23">
        <v>1</v>
      </c>
      <c r="I23">
        <v>0</v>
      </c>
      <c r="J23">
        <v>0</v>
      </c>
      <c r="K23">
        <f t="shared" si="0"/>
        <v>9</v>
      </c>
      <c r="L23">
        <f t="shared" si="1"/>
        <v>0.82000000000000006</v>
      </c>
    </row>
    <row r="24" spans="1:1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f t="shared" si="0"/>
        <v>1</v>
      </c>
      <c r="L24">
        <f t="shared" si="1"/>
        <v>0.98</v>
      </c>
    </row>
    <row r="25" spans="1:13" x14ac:dyDescent="0.3">
      <c r="A25">
        <v>1</v>
      </c>
      <c r="B25">
        <v>0</v>
      </c>
      <c r="C25">
        <v>1</v>
      </c>
      <c r="D25">
        <v>0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  <c r="K25">
        <f t="shared" si="0"/>
        <v>7</v>
      </c>
      <c r="L25">
        <f t="shared" si="1"/>
        <v>0.86</v>
      </c>
    </row>
    <row r="26" spans="1:13" x14ac:dyDescent="0.3">
      <c r="A26">
        <v>2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f t="shared" si="0"/>
        <v>3</v>
      </c>
      <c r="L26">
        <f t="shared" si="1"/>
        <v>0.94</v>
      </c>
    </row>
    <row r="27" spans="1:13" x14ac:dyDescent="0.3">
      <c r="A27">
        <v>1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f t="shared" si="0"/>
        <v>2</v>
      </c>
      <c r="L27">
        <f t="shared" si="1"/>
        <v>0.96</v>
      </c>
    </row>
    <row r="28" spans="1:13" x14ac:dyDescent="0.3">
      <c r="A28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f t="shared" si="0"/>
        <v>3</v>
      </c>
      <c r="L28">
        <f t="shared" si="1"/>
        <v>0.94</v>
      </c>
    </row>
    <row r="29" spans="1:13" x14ac:dyDescent="0.3">
      <c r="A29">
        <v>2</v>
      </c>
      <c r="B29">
        <v>0</v>
      </c>
      <c r="C29">
        <v>2</v>
      </c>
      <c r="D29">
        <v>0</v>
      </c>
      <c r="E29">
        <v>0</v>
      </c>
      <c r="F29">
        <v>4</v>
      </c>
      <c r="G29">
        <v>0</v>
      </c>
      <c r="H29">
        <v>0</v>
      </c>
      <c r="I29">
        <v>4</v>
      </c>
      <c r="J29">
        <v>3</v>
      </c>
      <c r="K29">
        <f t="shared" si="0"/>
        <v>15</v>
      </c>
      <c r="L29">
        <f t="shared" si="1"/>
        <v>0.7</v>
      </c>
    </row>
    <row r="30" spans="1:13" x14ac:dyDescent="0.3">
      <c r="A30">
        <v>0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4</v>
      </c>
      <c r="K30">
        <f t="shared" si="0"/>
        <v>6</v>
      </c>
      <c r="L30">
        <f t="shared" si="1"/>
        <v>0.88</v>
      </c>
    </row>
    <row r="31" spans="1:13" x14ac:dyDescent="0.3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f t="shared" si="0"/>
        <v>3</v>
      </c>
      <c r="L31">
        <f t="shared" si="1"/>
        <v>0.94</v>
      </c>
    </row>
    <row r="32" spans="1:13" x14ac:dyDescent="0.3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1</v>
      </c>
      <c r="L32">
        <f t="shared" si="1"/>
        <v>0.98</v>
      </c>
    </row>
    <row r="33" spans="1:13" x14ac:dyDescent="0.3">
      <c r="A33">
        <v>0</v>
      </c>
      <c r="B33">
        <v>0</v>
      </c>
      <c r="C33">
        <v>1</v>
      </c>
      <c r="D33">
        <v>0</v>
      </c>
      <c r="E33">
        <v>0</v>
      </c>
      <c r="F33">
        <v>3</v>
      </c>
      <c r="G33">
        <v>0</v>
      </c>
      <c r="H33">
        <v>1</v>
      </c>
      <c r="I33">
        <v>1</v>
      </c>
      <c r="J33">
        <v>1</v>
      </c>
      <c r="K33">
        <f t="shared" si="0"/>
        <v>7</v>
      </c>
      <c r="L33">
        <f t="shared" si="1"/>
        <v>0.86</v>
      </c>
    </row>
    <row r="34" spans="1:13" x14ac:dyDescent="0.3">
      <c r="A34">
        <f>SUM(A19:A33)</f>
        <v>15</v>
      </c>
      <c r="B34">
        <f t="shared" ref="B34:J34" si="3">SUM(B19:B33)</f>
        <v>3</v>
      </c>
      <c r="C34">
        <f t="shared" si="3"/>
        <v>8</v>
      </c>
      <c r="D34">
        <f t="shared" si="3"/>
        <v>4</v>
      </c>
      <c r="E34">
        <f t="shared" si="3"/>
        <v>2</v>
      </c>
      <c r="F34">
        <f t="shared" si="3"/>
        <v>24</v>
      </c>
      <c r="G34">
        <f t="shared" si="3"/>
        <v>1</v>
      </c>
      <c r="H34">
        <f t="shared" si="3"/>
        <v>2</v>
      </c>
      <c r="I34">
        <f t="shared" si="3"/>
        <v>10</v>
      </c>
      <c r="J34">
        <f t="shared" si="3"/>
        <v>14</v>
      </c>
      <c r="K34">
        <f t="shared" si="0"/>
        <v>83</v>
      </c>
      <c r="L34">
        <f>1-K34/750</f>
        <v>0.88933333333333331</v>
      </c>
    </row>
    <row r="35" spans="1:13" x14ac:dyDescent="0.3">
      <c r="K35">
        <f t="shared" si="0"/>
        <v>0</v>
      </c>
    </row>
    <row r="36" spans="1:13" x14ac:dyDescent="0.3">
      <c r="A36">
        <v>4</v>
      </c>
      <c r="B36">
        <v>2</v>
      </c>
      <c r="C36">
        <v>2</v>
      </c>
      <c r="D36">
        <v>3</v>
      </c>
      <c r="E36">
        <v>2</v>
      </c>
      <c r="F36">
        <v>2</v>
      </c>
      <c r="G36">
        <v>1</v>
      </c>
      <c r="H36">
        <v>0</v>
      </c>
      <c r="I36">
        <v>4</v>
      </c>
      <c r="J36">
        <v>3</v>
      </c>
      <c r="K36">
        <f t="shared" si="0"/>
        <v>23</v>
      </c>
      <c r="M36" t="s">
        <v>5</v>
      </c>
    </row>
    <row r="37" spans="1:13" x14ac:dyDescent="0.3">
      <c r="A37">
        <v>1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f t="shared" si="0"/>
        <v>3</v>
      </c>
    </row>
    <row r="38" spans="1:13" x14ac:dyDescent="0.3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f t="shared" si="0"/>
        <v>3</v>
      </c>
    </row>
    <row r="39" spans="1:13" x14ac:dyDescent="0.3">
      <c r="A39">
        <v>2</v>
      </c>
      <c r="B39">
        <v>0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2</v>
      </c>
      <c r="K39">
        <f t="shared" si="0"/>
        <v>6</v>
      </c>
    </row>
    <row r="40" spans="1:13" x14ac:dyDescent="0.3">
      <c r="A40">
        <v>2</v>
      </c>
      <c r="B40">
        <v>0</v>
      </c>
      <c r="C40">
        <v>1</v>
      </c>
      <c r="D40">
        <v>0</v>
      </c>
      <c r="E40">
        <v>1</v>
      </c>
      <c r="F40">
        <v>4</v>
      </c>
      <c r="G40">
        <v>0</v>
      </c>
      <c r="H40">
        <v>1</v>
      </c>
      <c r="I40">
        <v>0</v>
      </c>
      <c r="J40">
        <v>0</v>
      </c>
      <c r="K40">
        <f t="shared" si="0"/>
        <v>9</v>
      </c>
    </row>
    <row r="41" spans="1:13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f t="shared" si="0"/>
        <v>1</v>
      </c>
    </row>
    <row r="42" spans="1:13" x14ac:dyDescent="0.3">
      <c r="A42">
        <v>1</v>
      </c>
      <c r="B42">
        <v>0</v>
      </c>
      <c r="C42">
        <v>1</v>
      </c>
      <c r="D42">
        <v>0</v>
      </c>
      <c r="E42">
        <v>0</v>
      </c>
      <c r="F42">
        <v>5</v>
      </c>
      <c r="G42">
        <v>0</v>
      </c>
      <c r="H42">
        <v>0</v>
      </c>
      <c r="I42">
        <v>0</v>
      </c>
      <c r="J42">
        <v>0</v>
      </c>
      <c r="K42">
        <f t="shared" si="0"/>
        <v>7</v>
      </c>
    </row>
    <row r="43" spans="1:13" x14ac:dyDescent="0.3">
      <c r="A43">
        <v>2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f t="shared" si="0"/>
        <v>3</v>
      </c>
    </row>
    <row r="44" spans="1:13" x14ac:dyDescent="0.3">
      <c r="A44">
        <v>1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f t="shared" si="0"/>
        <v>2</v>
      </c>
    </row>
    <row r="45" spans="1:13" x14ac:dyDescent="0.3">
      <c r="A45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f t="shared" si="0"/>
        <v>3</v>
      </c>
    </row>
    <row r="46" spans="1:13" x14ac:dyDescent="0.3">
      <c r="A46">
        <v>2</v>
      </c>
      <c r="B46">
        <v>0</v>
      </c>
      <c r="C46">
        <v>2</v>
      </c>
      <c r="D46">
        <v>0</v>
      </c>
      <c r="E46">
        <v>0</v>
      </c>
      <c r="F46">
        <v>3</v>
      </c>
      <c r="G46">
        <v>0</v>
      </c>
      <c r="H46">
        <v>0</v>
      </c>
      <c r="I46">
        <v>4</v>
      </c>
      <c r="J46">
        <v>3</v>
      </c>
      <c r="K46">
        <f t="shared" si="0"/>
        <v>14</v>
      </c>
    </row>
    <row r="47" spans="1:13" x14ac:dyDescent="0.3">
      <c r="A47">
        <v>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4</v>
      </c>
      <c r="K47">
        <f t="shared" si="0"/>
        <v>6</v>
      </c>
    </row>
    <row r="48" spans="1:13" x14ac:dyDescent="0.3">
      <c r="A48">
        <v>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f t="shared" si="0"/>
        <v>3</v>
      </c>
    </row>
    <row r="49" spans="1:13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</row>
    <row r="50" spans="1:13" x14ac:dyDescent="0.3">
      <c r="A50">
        <v>0</v>
      </c>
      <c r="B50">
        <v>0</v>
      </c>
      <c r="C50">
        <v>1</v>
      </c>
      <c r="D50">
        <v>0</v>
      </c>
      <c r="E50">
        <v>0</v>
      </c>
      <c r="F50">
        <v>3</v>
      </c>
      <c r="G50">
        <v>0</v>
      </c>
      <c r="H50">
        <v>1</v>
      </c>
      <c r="I50">
        <v>1</v>
      </c>
      <c r="J50">
        <v>1</v>
      </c>
      <c r="K50">
        <f t="shared" si="0"/>
        <v>7</v>
      </c>
    </row>
    <row r="51" spans="1:13" x14ac:dyDescent="0.3">
      <c r="A51">
        <f>SUM(A36:A50)</f>
        <v>16</v>
      </c>
      <c r="B51">
        <f t="shared" ref="B51:J51" si="4">SUM(B36:B50)</f>
        <v>3</v>
      </c>
      <c r="C51">
        <f t="shared" si="4"/>
        <v>9</v>
      </c>
      <c r="D51">
        <f t="shared" si="4"/>
        <v>5</v>
      </c>
      <c r="E51">
        <f t="shared" si="4"/>
        <v>3</v>
      </c>
      <c r="F51">
        <f t="shared" si="4"/>
        <v>24</v>
      </c>
      <c r="G51">
        <f t="shared" si="4"/>
        <v>1</v>
      </c>
      <c r="H51">
        <f t="shared" si="4"/>
        <v>2</v>
      </c>
      <c r="I51">
        <f t="shared" si="4"/>
        <v>10</v>
      </c>
      <c r="J51">
        <f t="shared" si="4"/>
        <v>17</v>
      </c>
      <c r="K51">
        <f t="shared" si="0"/>
        <v>90</v>
      </c>
    </row>
    <row r="57" spans="1:13" x14ac:dyDescent="0.3">
      <c r="M57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wrongfre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</dc:creator>
  <cp:lastModifiedBy>Kris</cp:lastModifiedBy>
  <dcterms:created xsi:type="dcterms:W3CDTF">2020-02-05T20:31:54Z</dcterms:created>
  <dcterms:modified xsi:type="dcterms:W3CDTF">2020-02-11T21:06:41Z</dcterms:modified>
</cp:coreProperties>
</file>